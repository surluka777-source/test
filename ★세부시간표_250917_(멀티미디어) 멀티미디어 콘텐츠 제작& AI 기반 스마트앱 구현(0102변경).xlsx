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wdp" ContentType="image/vnd.ms-photo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proj\test\"/>
    </mc:Choice>
  </mc:AlternateContent>
  <bookViews>
    <workbookView xWindow="-120" yWindow="-120" windowWidth="29040" windowHeight="15720" tabRatio="445"/>
  </bookViews>
  <sheets>
    <sheet name="1.시간표" sheetId="27" r:id="rId1"/>
    <sheet name="훈련일정표" sheetId="28" r:id="rId2"/>
  </sheets>
  <externalReferences>
    <externalReference r:id="rId3"/>
    <externalReference r:id="rId4"/>
  </externalReferences>
  <definedNames>
    <definedName name="_xlnm.Print_Area" localSheetId="0">'1.시간표'!$A$1:$L$403</definedName>
    <definedName name="_xlnm.Print_Area" localSheetId="1">훈련일정표!$B$1:$K$99</definedName>
    <definedName name="_xlnm.Print_Titles" localSheetId="1">훈련일정표!$2:$2</definedName>
    <definedName name="공휴일2" localSheetId="0">OFFSET([1]원본2!$AE$17,0,0,COUNTA([1]원본2!$AE:$AE)-1,2)</definedName>
    <definedName name="공휴일2">OFFSET([2]원본2!$AE$17,0,0,COUNTA([2]원본2!$AE$1:$AE$65536)-1,2)</definedName>
    <definedName name="금요일" localSheetId="0">[1]원본2!$AC$14</definedName>
    <definedName name="금요일">[2]원본2!$AC$14</definedName>
    <definedName name="목요일" localSheetId="0">[1]원본2!$AC$13</definedName>
    <definedName name="목요일">[2]원본2!$AC$13</definedName>
    <definedName name="수요일" localSheetId="0">[1]원본2!$AC$12</definedName>
    <definedName name="수요일">[2]원본2!$AC$12</definedName>
    <definedName name="월요일" localSheetId="0">[1]원본2!$AC$10</definedName>
    <definedName name="월요일">[2]원본2!$AC$10</definedName>
    <definedName name="화요일" localSheetId="0">[1]원본2!$AC$11</definedName>
    <definedName name="화요일">[2]원본2!$AC$11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29" i="28" l="1"/>
  <c r="C41" i="28" l="1"/>
  <c r="Q13" i="28" l="1"/>
  <c r="Q14" i="28"/>
  <c r="Q15" i="28"/>
  <c r="Q16" i="28"/>
  <c r="Q17" i="28"/>
  <c r="Q18" i="28"/>
  <c r="Q19" i="28"/>
  <c r="C62" i="28" l="1"/>
  <c r="C63" i="28"/>
  <c r="C61" i="28"/>
  <c r="C60" i="28"/>
  <c r="C59" i="28"/>
  <c r="C58" i="28"/>
  <c r="C57" i="28"/>
  <c r="C56" i="28"/>
  <c r="C55" i="28"/>
  <c r="C54" i="28"/>
  <c r="C53" i="28"/>
  <c r="C52" i="28"/>
  <c r="C51" i="28"/>
  <c r="C50" i="28"/>
  <c r="C49" i="28"/>
  <c r="C48" i="28"/>
  <c r="C47" i="28"/>
  <c r="C46" i="28"/>
  <c r="C45" i="28"/>
  <c r="C44" i="28"/>
  <c r="C43" i="28"/>
  <c r="C42" i="28"/>
  <c r="C5" i="28"/>
  <c r="C6" i="28"/>
  <c r="C7" i="28"/>
  <c r="C8" i="28"/>
  <c r="C9" i="28"/>
  <c r="C10" i="28"/>
  <c r="C11" i="28"/>
  <c r="C12" i="28"/>
  <c r="C13" i="28"/>
  <c r="C14" i="28"/>
  <c r="C15" i="28"/>
  <c r="C16" i="28"/>
  <c r="C17" i="28"/>
  <c r="C18" i="28"/>
  <c r="C19" i="28"/>
  <c r="C20" i="28"/>
  <c r="C21" i="28"/>
  <c r="C22" i="28"/>
  <c r="C23" i="28"/>
  <c r="C24" i="28"/>
  <c r="C25" i="28"/>
  <c r="C26" i="28"/>
  <c r="C27" i="28"/>
  <c r="C28" i="28"/>
  <c r="C29" i="28"/>
  <c r="C30" i="28"/>
  <c r="C31" i="28"/>
  <c r="C32" i="28"/>
  <c r="C33" i="28"/>
  <c r="C34" i="28"/>
  <c r="C35" i="28"/>
  <c r="C36" i="28"/>
  <c r="C37" i="28"/>
  <c r="C38" i="28"/>
  <c r="C39" i="28"/>
  <c r="C40" i="28"/>
  <c r="C64" i="28"/>
  <c r="C65" i="28"/>
  <c r="C66" i="28"/>
  <c r="C67" i="28"/>
  <c r="C68" i="28"/>
  <c r="C69" i="28"/>
  <c r="C70" i="28"/>
  <c r="C71" i="28"/>
  <c r="C72" i="28"/>
  <c r="C73" i="28"/>
  <c r="C74" i="28"/>
  <c r="C75" i="28"/>
  <c r="C76" i="28"/>
  <c r="C77" i="28"/>
  <c r="C78" i="28"/>
  <c r="C79" i="28"/>
  <c r="C80" i="28"/>
  <c r="C81" i="28"/>
  <c r="C82" i="28"/>
  <c r="C83" i="28"/>
  <c r="C84" i="28"/>
  <c r="C85" i="28"/>
  <c r="C86" i="28"/>
  <c r="C87" i="28"/>
  <c r="C88" i="28"/>
  <c r="C89" i="28"/>
  <c r="C90" i="28"/>
  <c r="C91" i="28"/>
  <c r="C92" i="28"/>
  <c r="C93" i="28"/>
  <c r="C94" i="28"/>
  <c r="C95" i="28"/>
  <c r="C96" i="28"/>
  <c r="C97" i="28"/>
  <c r="C98" i="28"/>
  <c r="C99" i="28"/>
  <c r="C100" i="28"/>
  <c r="C101" i="28"/>
  <c r="C102" i="28"/>
  <c r="C103" i="28"/>
  <c r="Q25" i="28" l="1"/>
  <c r="Q24" i="28"/>
  <c r="Q23" i="28"/>
  <c r="Q22" i="28"/>
  <c r="Q21" i="28"/>
  <c r="Q20" i="28"/>
  <c r="Q12" i="28"/>
  <c r="Q11" i="28"/>
  <c r="Q10" i="28"/>
  <c r="Q9" i="28"/>
  <c r="Q8" i="28"/>
  <c r="Q7" i="28"/>
  <c r="Q6" i="28"/>
  <c r="Q5" i="28"/>
  <c r="P27" i="28" l="1"/>
  <c r="R25" i="28"/>
  <c r="R24" i="28"/>
  <c r="R23" i="28"/>
  <c r="R22" i="28"/>
  <c r="R21" i="28"/>
  <c r="R20" i="28"/>
  <c r="R19" i="28"/>
  <c r="R18" i="28"/>
  <c r="R17" i="28"/>
  <c r="R16" i="28"/>
  <c r="R15" i="28"/>
  <c r="R14" i="28"/>
  <c r="R13" i="28"/>
  <c r="R12" i="28"/>
  <c r="R11" i="28"/>
  <c r="R10" i="28"/>
  <c r="R9" i="28"/>
  <c r="R8" i="28"/>
  <c r="R7" i="28"/>
  <c r="R6" i="28"/>
  <c r="C4" i="28"/>
  <c r="Q27" i="28" l="1"/>
  <c r="R5" i="28"/>
  <c r="Q30" i="27" l="1"/>
  <c r="J1" i="27"/>
  <c r="E9" i="27" l="1"/>
  <c r="G9" i="27" l="1"/>
  <c r="I9" i="27"/>
  <c r="K9" i="27" s="1"/>
  <c r="C27" i="27" s="1"/>
  <c r="E27" i="27" l="1"/>
  <c r="G27" i="27" l="1"/>
  <c r="I27" i="27" s="1"/>
  <c r="K27" i="27" s="1"/>
  <c r="C45" i="27" s="1"/>
  <c r="E45" i="27" s="1"/>
  <c r="G45" i="27" s="1"/>
  <c r="I45" i="27" s="1"/>
  <c r="K45" i="27" s="1"/>
  <c r="C63" i="27" s="1"/>
  <c r="E63" i="27" s="1"/>
  <c r="G63" i="27" s="1"/>
  <c r="I63" i="27" s="1"/>
  <c r="K63" i="27" s="1"/>
  <c r="C81" i="27" s="1"/>
  <c r="E81" i="27" s="1"/>
  <c r="G81" i="27" s="1"/>
  <c r="I81" i="27" s="1"/>
  <c r="K81" i="27" s="1"/>
  <c r="C99" i="27" s="1"/>
  <c r="E99" i="27" s="1"/>
  <c r="G99" i="27" s="1"/>
  <c r="I99" i="27" s="1"/>
  <c r="K99" i="27" s="1"/>
  <c r="C117" i="27" s="1"/>
  <c r="E117" i="27" s="1"/>
  <c r="G117" i="27" s="1"/>
  <c r="I117" i="27" s="1"/>
  <c r="K117" i="27" l="1"/>
  <c r="C135" i="27" l="1"/>
  <c r="E135" i="27" s="1"/>
  <c r="G135" i="27" s="1"/>
  <c r="I135" i="27" s="1"/>
  <c r="K135" i="27" l="1"/>
  <c r="C153" i="27" l="1"/>
  <c r="E153" i="27" l="1"/>
  <c r="G153" i="27" l="1"/>
  <c r="I153" i="27" l="1"/>
  <c r="K153" i="27" l="1"/>
  <c r="C171" i="27" l="1"/>
  <c r="E171" i="27" l="1"/>
  <c r="G171" i="27" s="1"/>
  <c r="I171" i="27" s="1"/>
  <c r="K171" i="27" s="1"/>
  <c r="C189" i="27" s="1"/>
  <c r="E189" i="27" s="1"/>
  <c r="G189" i="27" s="1"/>
  <c r="I189" i="27" s="1"/>
  <c r="K189" i="27" s="1"/>
  <c r="C207" i="27" s="1"/>
  <c r="E207" i="27" s="1"/>
  <c r="G207" i="27" s="1"/>
  <c r="I207" i="27" s="1"/>
  <c r="K207" i="27" s="1"/>
  <c r="C225" i="27" s="1"/>
  <c r="E225" i="27" s="1"/>
  <c r="G225" i="27" s="1"/>
  <c r="I225" i="27" s="1"/>
  <c r="K225" i="27" s="1"/>
  <c r="C243" i="27" s="1"/>
  <c r="E243" i="27" s="1"/>
  <c r="G243" i="27" s="1"/>
  <c r="I243" i="27" s="1"/>
  <c r="K243" i="27" s="1"/>
  <c r="C261" i="27" s="1"/>
  <c r="E261" i="27" s="1"/>
  <c r="G261" i="27" s="1"/>
  <c r="I261" i="27" s="1"/>
  <c r="K261" i="27" s="1"/>
  <c r="C279" i="27" s="1"/>
  <c r="E279" i="27" s="1"/>
  <c r="S29" i="27"/>
  <c r="S24" i="27"/>
  <c r="S27" i="27"/>
  <c r="S26" i="27"/>
  <c r="S25" i="27"/>
  <c r="S28" i="27"/>
  <c r="G279" i="27" l="1"/>
  <c r="I279" i="27" l="1"/>
  <c r="K279" i="27" l="1"/>
  <c r="C297" i="27" l="1"/>
  <c r="E297" i="27" l="1"/>
  <c r="G297" i="27" l="1"/>
  <c r="I297" i="27" l="1"/>
  <c r="K297" i="27" l="1"/>
  <c r="C315" i="27" l="1"/>
  <c r="E315" i="27" l="1"/>
  <c r="G315" i="27" l="1"/>
  <c r="I315" i="27" s="1"/>
  <c r="K315" i="27" s="1"/>
  <c r="C333" i="27" s="1"/>
  <c r="E333" i="27" s="1"/>
  <c r="G333" i="27" s="1"/>
  <c r="I333" i="27" s="1"/>
  <c r="K333" i="27" s="1"/>
  <c r="C351" i="27" s="1"/>
  <c r="E351" i="27" s="1"/>
  <c r="G351" i="27" s="1"/>
  <c r="I351" i="27" s="1"/>
  <c r="K351" i="27" s="1"/>
  <c r="C369" i="27" s="1"/>
  <c r="E369" i="27" s="1"/>
  <c r="G369" i="27" s="1"/>
  <c r="I369" i="27" s="1"/>
  <c r="K369" i="27" s="1"/>
  <c r="C387" i="27" s="1"/>
  <c r="E387" i="27" s="1"/>
  <c r="G387" i="27" s="1"/>
  <c r="I387" i="27" s="1"/>
  <c r="K387" i="27" s="1"/>
  <c r="C405" i="27" s="1"/>
  <c r="E405" i="27" s="1"/>
  <c r="G405" i="27" s="1"/>
  <c r="I405" i="27" s="1"/>
  <c r="K405" i="27" s="1"/>
  <c r="R14" i="27"/>
  <c r="S14" i="27" s="1"/>
  <c r="R23" i="27"/>
  <c r="S23" i="27" s="1"/>
  <c r="P32" i="27" l="1"/>
  <c r="C423" i="27"/>
  <c r="E423" i="27" s="1"/>
  <c r="G423" i="27" s="1"/>
  <c r="I423" i="27" s="1"/>
  <c r="K423" i="27" s="1"/>
  <c r="C441" i="27" s="1"/>
  <c r="E441" i="27" s="1"/>
  <c r="G441" i="27" s="1"/>
  <c r="I441" i="27" s="1"/>
  <c r="K441" i="27" s="1"/>
  <c r="C459" i="27" s="1"/>
  <c r="E459" i="27" s="1"/>
  <c r="G459" i="27" s="1"/>
  <c r="I459" i="27" s="1"/>
  <c r="K459" i="27" s="1"/>
  <c r="R16" i="27"/>
  <c r="S16" i="27" s="1"/>
  <c r="R22" i="27"/>
  <c r="S22" i="27" s="1"/>
  <c r="R12" i="27"/>
  <c r="S12" i="27" s="1"/>
  <c r="R18" i="27"/>
  <c r="S18" i="27" s="1"/>
  <c r="R11" i="27"/>
  <c r="S11" i="27" s="1"/>
  <c r="R10" i="27"/>
  <c r="S10" i="27" s="1"/>
  <c r="R21" i="27"/>
  <c r="S21" i="27" s="1"/>
  <c r="R17" i="27"/>
  <c r="S17" i="27" s="1"/>
  <c r="R19" i="27"/>
  <c r="S19" i="27" s="1"/>
  <c r="R13" i="27"/>
  <c r="S13" i="27" s="1"/>
  <c r="R20" i="27"/>
  <c r="S20" i="27" s="1"/>
  <c r="R15" i="27"/>
  <c r="S15" i="27" s="1"/>
  <c r="R9" i="27"/>
  <c r="S9" i="27" l="1"/>
  <c r="S30" i="27" s="1"/>
  <c r="R30" i="27"/>
</calcChain>
</file>

<file path=xl/sharedStrings.xml><?xml version="1.0" encoding="utf-8"?>
<sst xmlns="http://schemas.openxmlformats.org/spreadsheetml/2006/main" count="3686" uniqueCount="124">
  <si>
    <t>교과목</t>
  </si>
  <si>
    <t>2교시</t>
  </si>
  <si>
    <t>3교시</t>
  </si>
  <si>
    <t>4교시</t>
  </si>
  <si>
    <t>5교시</t>
  </si>
  <si>
    <t>6교시</t>
  </si>
  <si>
    <t>7교시</t>
  </si>
  <si>
    <t>교육과정</t>
    <phoneticPr fontId="3" type="noConversion"/>
  </si>
  <si>
    <t>교육기간</t>
    <phoneticPr fontId="3" type="noConversion"/>
  </si>
  <si>
    <t>일수/시간</t>
    <phoneticPr fontId="3" type="noConversion"/>
  </si>
  <si>
    <t>교육장소</t>
    <phoneticPr fontId="3" type="noConversion"/>
  </si>
  <si>
    <t>교육강사</t>
    <phoneticPr fontId="3" type="noConversion"/>
  </si>
  <si>
    <t>교시</t>
    <phoneticPr fontId="21" type="noConversion"/>
  </si>
  <si>
    <t>시간</t>
    <phoneticPr fontId="21" type="noConversion"/>
  </si>
  <si>
    <t>월</t>
    <phoneticPr fontId="21" type="noConversion"/>
  </si>
  <si>
    <t>화</t>
    <phoneticPr fontId="19" type="noConversion"/>
  </si>
  <si>
    <t>수</t>
    <phoneticPr fontId="19" type="noConversion"/>
  </si>
  <si>
    <t>목</t>
    <phoneticPr fontId="19" type="noConversion"/>
  </si>
  <si>
    <t>금</t>
    <phoneticPr fontId="19" type="noConversion"/>
  </si>
  <si>
    <t>세부단원</t>
    <phoneticPr fontId="3" type="noConversion"/>
  </si>
  <si>
    <t>승인시간</t>
    <phoneticPr fontId="3" type="noConversion"/>
  </si>
  <si>
    <t>편성시간</t>
    <phoneticPr fontId="3" type="noConversion"/>
  </si>
  <si>
    <t>과부족</t>
    <phoneticPr fontId="3" type="noConversion"/>
  </si>
  <si>
    <t>09:00
~
09:50</t>
    <phoneticPr fontId="21" type="noConversion"/>
  </si>
  <si>
    <t>10:00
~
10:50</t>
    <phoneticPr fontId="21" type="noConversion"/>
  </si>
  <si>
    <t>11:00
~
11:50</t>
    <phoneticPr fontId="21" type="noConversion"/>
  </si>
  <si>
    <t>12:00
~
12:50</t>
    <phoneticPr fontId="21" type="noConversion"/>
  </si>
  <si>
    <t>13:40
~
14:30</t>
    <phoneticPr fontId="21" type="noConversion"/>
  </si>
  <si>
    <t>14:40
~
15:30</t>
    <phoneticPr fontId="21" type="noConversion"/>
  </si>
  <si>
    <t>15:40
~
16:30</t>
    <phoneticPr fontId="21" type="noConversion"/>
  </si>
  <si>
    <t>재량교과</t>
    <phoneticPr fontId="3" type="noConversion"/>
  </si>
  <si>
    <t>일수</t>
    <phoneticPr fontId="3" type="noConversion"/>
  </si>
  <si>
    <t>일자</t>
    <phoneticPr fontId="3" type="noConversion"/>
  </si>
  <si>
    <t>1교시</t>
    <phoneticPr fontId="3" type="noConversion"/>
  </si>
  <si>
    <t>8교시</t>
    <phoneticPr fontId="3" type="noConversion"/>
  </si>
  <si>
    <t>세부단원</t>
    <phoneticPr fontId="3" type="noConversion"/>
  </si>
  <si>
    <t>승인시간</t>
    <phoneticPr fontId="3" type="noConversion"/>
  </si>
  <si>
    <t>편성시간</t>
    <phoneticPr fontId="3" type="noConversion"/>
  </si>
  <si>
    <t>과부족</t>
    <phoneticPr fontId="3" type="noConversion"/>
  </si>
  <si>
    <r>
      <t xml:space="preserve">내일의 차이를 만든다. 한국직업교육의 메카. </t>
    </r>
    <r>
      <rPr>
        <b/>
        <sz val="10"/>
        <color rgb="FF00B0F0"/>
        <rFont val="돋움"/>
        <family val="3"/>
        <charset val="129"/>
      </rPr>
      <t>한국직업능력교육원</t>
    </r>
    <phoneticPr fontId="3" type="noConversion"/>
  </si>
  <si>
    <t>16:40
~
17:30</t>
    <phoneticPr fontId="21" type="noConversion"/>
  </si>
  <si>
    <t>한글날</t>
  </si>
  <si>
    <t>성탄절</t>
  </si>
  <si>
    <t>새해</t>
  </si>
  <si>
    <t>설날</t>
  </si>
  <si>
    <t>삼일절</t>
  </si>
  <si>
    <t>삼일절대체</t>
  </si>
  <si>
    <t>임시공휴일</t>
  </si>
  <si>
    <t>부처님오신날</t>
  </si>
  <si>
    <t>대체휴일</t>
  </si>
  <si>
    <t>현충일</t>
  </si>
  <si>
    <t>여름휴가</t>
  </si>
  <si>
    <t>광복절</t>
  </si>
  <si>
    <t>대선</t>
    <phoneticPr fontId="3" type="noConversion"/>
  </si>
  <si>
    <t>콘텐츠 기획</t>
    <phoneticPr fontId="3" type="noConversion"/>
  </si>
  <si>
    <t>크리에이티브 전략 수립</t>
    <phoneticPr fontId="3" type="noConversion"/>
  </si>
  <si>
    <t>제작 기획</t>
    <phoneticPr fontId="3" type="noConversion"/>
  </si>
  <si>
    <t>AI 활용 그래픽 콘텐츠 제작</t>
  </si>
  <si>
    <t>AI 활용 그래픽 콘텐츠 제작</t>
    <phoneticPr fontId="3" type="noConversion"/>
  </si>
  <si>
    <t>일러스트레이션</t>
    <phoneticPr fontId="3" type="noConversion"/>
  </si>
  <si>
    <t>2D 그래픽제작</t>
  </si>
  <si>
    <t>3D 그래픽제작</t>
    <phoneticPr fontId="3" type="noConversion"/>
  </si>
  <si>
    <t>스마트앱 설계</t>
    <phoneticPr fontId="3" type="noConversion"/>
  </si>
  <si>
    <t>스마트문화앱 콘텐츠 설계</t>
    <phoneticPr fontId="3" type="noConversion"/>
  </si>
  <si>
    <t>스마트문화앱 사용자 조사분석</t>
  </si>
  <si>
    <t xml:space="preserve">스마트문화앱 UX 설계 </t>
    <phoneticPr fontId="3" type="noConversion"/>
  </si>
  <si>
    <t>AI 활용 스마트앱 제작</t>
    <phoneticPr fontId="3" type="noConversion"/>
  </si>
  <si>
    <t xml:space="preserve">스마트문화앱 UI 디자인 </t>
    <phoneticPr fontId="3" type="noConversion"/>
  </si>
  <si>
    <t xml:space="preserve">스마트문화앱 구현 </t>
    <phoneticPr fontId="3" type="noConversion"/>
  </si>
  <si>
    <t>AI를 활용한 콘텐츠 &amp; 애플리케이션 제작</t>
    <phoneticPr fontId="3" type="noConversion"/>
  </si>
  <si>
    <t>AI 활용 영상 콘텐츠 제작</t>
    <phoneticPr fontId="3" type="noConversion"/>
  </si>
  <si>
    <t>사운드 디자인</t>
    <phoneticPr fontId="3" type="noConversion"/>
  </si>
  <si>
    <t>영상 CG작업</t>
    <phoneticPr fontId="3" type="noConversion"/>
  </si>
  <si>
    <t>특수영상 합성</t>
    <phoneticPr fontId="3" type="noConversion"/>
  </si>
  <si>
    <t>개천철</t>
    <phoneticPr fontId="3" type="noConversion"/>
  </si>
  <si>
    <t>추석</t>
    <phoneticPr fontId="19" type="noConversion"/>
  </si>
  <si>
    <t>추석다음날</t>
    <phoneticPr fontId="19" type="noConversion"/>
  </si>
  <si>
    <t>대체공휴일</t>
    <phoneticPr fontId="19" type="noConversion"/>
  </si>
  <si>
    <t>한글날</t>
    <phoneticPr fontId="19" type="noConversion"/>
  </si>
  <si>
    <t>크리스마스</t>
    <phoneticPr fontId="19" type="noConversion"/>
  </si>
  <si>
    <t>신정</t>
    <phoneticPr fontId="19" type="noConversion"/>
  </si>
  <si>
    <t>설전날</t>
    <phoneticPr fontId="19" type="noConversion"/>
  </si>
  <si>
    <t>설날</t>
    <phoneticPr fontId="19" type="noConversion"/>
  </si>
  <si>
    <t>설다음날</t>
    <phoneticPr fontId="19" type="noConversion"/>
  </si>
  <si>
    <t>김재이</t>
    <phoneticPr fontId="19" type="noConversion"/>
  </si>
  <si>
    <t>'25.09.17~'26.02.13</t>
    <phoneticPr fontId="3" type="noConversion"/>
  </si>
  <si>
    <t>101일/800시간</t>
    <phoneticPr fontId="3" type="noConversion"/>
  </si>
  <si>
    <t>(멀티미디어) 멀티미디어 콘텐츠 제작(프리미어, 애프터 이펙트, 3ds Max) &amp; AI 기반 스마트앱 구현(`25.09.17~`26.02.13)</t>
    <phoneticPr fontId="3" type="noConversion"/>
  </si>
  <si>
    <t>(멀티미디어) 멀티미디어 콘텐츠 제작 (프리미어, 애프터 이펙트, 3ds Max) &amp; AI 기반 스마트앱 구현</t>
    <phoneticPr fontId="3" type="noConversion"/>
  </si>
  <si>
    <t>김치화,최은석,김재이,임해인</t>
    <phoneticPr fontId="3" type="noConversion"/>
  </si>
  <si>
    <t>재량 교과</t>
    <phoneticPr fontId="3" type="noConversion"/>
  </si>
  <si>
    <t>최은석</t>
    <phoneticPr fontId="3" type="noConversion"/>
  </si>
  <si>
    <t>김재이</t>
    <phoneticPr fontId="3" type="noConversion"/>
  </si>
  <si>
    <t>개</t>
    <phoneticPr fontId="3" type="noConversion"/>
  </si>
  <si>
    <t>천</t>
    <phoneticPr fontId="3" type="noConversion"/>
  </si>
  <si>
    <t>절</t>
    <phoneticPr fontId="3" type="noConversion"/>
  </si>
  <si>
    <t>추</t>
    <phoneticPr fontId="3" type="noConversion"/>
  </si>
  <si>
    <t>대</t>
    <phoneticPr fontId="3" type="noConversion"/>
  </si>
  <si>
    <t>체</t>
    <phoneticPr fontId="3" type="noConversion"/>
  </si>
  <si>
    <t>공</t>
    <phoneticPr fontId="3" type="noConversion"/>
  </si>
  <si>
    <t>휴</t>
    <phoneticPr fontId="3" type="noConversion"/>
  </si>
  <si>
    <t>일</t>
    <phoneticPr fontId="3" type="noConversion"/>
  </si>
  <si>
    <t>한</t>
    <phoneticPr fontId="3" type="noConversion"/>
  </si>
  <si>
    <t>글</t>
    <phoneticPr fontId="3" type="noConversion"/>
  </si>
  <si>
    <t>날</t>
    <phoneticPr fontId="3" type="noConversion"/>
  </si>
  <si>
    <t>석</t>
    <phoneticPr fontId="3" type="noConversion"/>
  </si>
  <si>
    <t>제작 기획</t>
    <phoneticPr fontId="3" type="noConversion"/>
  </si>
  <si>
    <t>최은석</t>
    <phoneticPr fontId="3" type="noConversion"/>
  </si>
  <si>
    <t>신</t>
    <phoneticPr fontId="3" type="noConversion"/>
  </si>
  <si>
    <t>정</t>
    <phoneticPr fontId="3" type="noConversion"/>
  </si>
  <si>
    <t>최은석</t>
    <phoneticPr fontId="3" type="noConversion"/>
  </si>
  <si>
    <t>최은석</t>
    <phoneticPr fontId="3" type="noConversion"/>
  </si>
  <si>
    <t>AI를 활용한 콘텐츠&amp;애플리케이션 제작</t>
    <phoneticPr fontId="3" type="noConversion"/>
  </si>
  <si>
    <t>김치화</t>
    <phoneticPr fontId="3" type="noConversion"/>
  </si>
  <si>
    <t>최은석</t>
    <phoneticPr fontId="3" type="noConversion"/>
  </si>
  <si>
    <r>
      <rPr>
        <b/>
        <sz val="8"/>
        <rFont val="돋움"/>
        <family val="3"/>
        <charset val="129"/>
      </rPr>
      <t>1교육관_컴퓨터실7</t>
    </r>
    <r>
      <rPr>
        <sz val="8"/>
        <color rgb="FF00B0F0"/>
        <rFont val="돋움"/>
        <family val="3"/>
        <charset val="129"/>
      </rPr>
      <t/>
    </r>
    <phoneticPr fontId="3" type="noConversion"/>
  </si>
  <si>
    <t>추</t>
    <phoneticPr fontId="3" type="noConversion"/>
  </si>
  <si>
    <t>석</t>
    <phoneticPr fontId="3" type="noConversion"/>
  </si>
  <si>
    <t>연</t>
    <phoneticPr fontId="3" type="noConversion"/>
  </si>
  <si>
    <t>휴</t>
    <phoneticPr fontId="3" type="noConversion"/>
  </si>
  <si>
    <t>성</t>
    <phoneticPr fontId="3" type="noConversion"/>
  </si>
  <si>
    <t>탄</t>
    <phoneticPr fontId="3" type="noConversion"/>
  </si>
  <si>
    <t>절</t>
    <phoneticPr fontId="3" type="noConversion"/>
  </si>
  <si>
    <t>최은석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</si>
</sst>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-* #,##0_-;\-* #,##0_-;_-* &quot;-&quot;_-;_-@_-"/>
    <numFmt numFmtId="176" formatCode="m&quot;월&quot;\ d&quot;일&quot;;@"/>
    <numFmt numFmtId="177" formatCode="mm&quot;/&quot;dd\(aaa\)"/>
  </numFmts>
  <fonts count="5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맑은 고딕"/>
      <family val="2"/>
      <charset val="129"/>
      <scheme val="minor"/>
    </font>
    <font>
      <sz val="8"/>
      <color theme="1"/>
      <name val="나눔고딕"/>
      <family val="3"/>
      <charset val="129"/>
    </font>
    <font>
      <sz val="8"/>
      <color theme="1"/>
      <name val="맑은 고딕"/>
      <family val="2"/>
      <charset val="129"/>
      <scheme val="minor"/>
    </font>
    <font>
      <b/>
      <sz val="11"/>
      <color theme="1"/>
      <name val="나눔고딕"/>
      <family val="3"/>
      <charset val="129"/>
    </font>
    <font>
      <b/>
      <sz val="11"/>
      <color rgb="FFFA7D00"/>
      <name val="맑은 고딕"/>
      <family val="2"/>
      <charset val="129"/>
      <scheme val="minor"/>
    </font>
    <font>
      <sz val="9"/>
      <color theme="1"/>
      <name val="나눔고딕"/>
      <family val="3"/>
      <charset val="129"/>
    </font>
    <font>
      <sz val="9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나눔고딕"/>
      <family val="3"/>
      <charset val="129"/>
    </font>
    <font>
      <sz val="11"/>
      <name val="Calibri"/>
      <family val="2"/>
    </font>
    <font>
      <sz val="9"/>
      <color theme="1"/>
      <name val="돋움"/>
      <family val="3"/>
      <charset val="129"/>
    </font>
    <font>
      <sz val="11"/>
      <color theme="1"/>
      <name val="돋움"/>
      <family val="3"/>
      <charset val="129"/>
    </font>
    <font>
      <sz val="11"/>
      <color theme="1"/>
      <name val="나눔고딕"/>
      <family val="3"/>
      <charset val="129"/>
    </font>
    <font>
      <b/>
      <sz val="8"/>
      <color theme="1"/>
      <name val="나눔고딕"/>
      <family val="3"/>
      <charset val="129"/>
    </font>
    <font>
      <sz val="11"/>
      <color rgb="FFFF0000"/>
      <name val="돋움"/>
      <family val="3"/>
      <charset val="129"/>
    </font>
    <font>
      <sz val="10"/>
      <name val="맑은 고딕"/>
      <family val="3"/>
      <charset val="129"/>
      <scheme val="major"/>
    </font>
    <font>
      <sz val="8"/>
      <name val="돋움"/>
      <family val="3"/>
      <charset val="129"/>
    </font>
    <font>
      <b/>
      <sz val="10"/>
      <name val="돋움"/>
      <family val="3"/>
      <charset val="129"/>
    </font>
    <font>
      <u/>
      <sz val="11"/>
      <color indexed="12"/>
      <name val="돋움"/>
      <family val="3"/>
      <charset val="129"/>
    </font>
    <font>
      <sz val="10"/>
      <name val="돋움"/>
      <family val="3"/>
      <charset val="129"/>
    </font>
    <font>
      <sz val="10"/>
      <color theme="1"/>
      <name val="돋움"/>
      <family val="3"/>
      <charset val="129"/>
    </font>
    <font>
      <b/>
      <sz val="10"/>
      <color rgb="FFFA7D00"/>
      <name val="맑은 고딕"/>
      <family val="2"/>
      <charset val="129"/>
      <scheme val="minor"/>
    </font>
    <font>
      <sz val="9"/>
      <name val="돋움"/>
      <family val="3"/>
      <charset val="129"/>
    </font>
    <font>
      <sz val="9"/>
      <color rgb="FF00B050"/>
      <name val="돋움"/>
      <family val="3"/>
      <charset val="129"/>
    </font>
    <font>
      <sz val="9"/>
      <color rgb="FF00B0F0"/>
      <name val="돋움"/>
      <family val="3"/>
      <charset val="129"/>
    </font>
    <font>
      <sz val="10"/>
      <color rgb="FF00B050"/>
      <name val="돋움"/>
      <family val="3"/>
      <charset val="129"/>
    </font>
    <font>
      <b/>
      <sz val="10"/>
      <color theme="0" tint="-0.499984740745262"/>
      <name val="돋움"/>
      <family val="3"/>
      <charset val="129"/>
    </font>
    <font>
      <b/>
      <sz val="10"/>
      <color rgb="FF00B0F0"/>
      <name val="돋움"/>
      <family val="3"/>
      <charset val="129"/>
    </font>
    <font>
      <b/>
      <sz val="14"/>
      <color theme="0"/>
      <name val="맑은 고딕"/>
      <family val="3"/>
      <charset val="129"/>
      <scheme val="minor"/>
    </font>
    <font>
      <sz val="8"/>
      <color rgb="FF00B0F0"/>
      <name val="돋움"/>
      <family val="3"/>
      <charset val="129"/>
    </font>
    <font>
      <sz val="9"/>
      <color rgb="FF000000"/>
      <name val="새굴림"/>
      <family val="1"/>
      <charset val="129"/>
    </font>
    <font>
      <sz val="9"/>
      <color rgb="FF000000"/>
      <name val="돋움"/>
      <family val="3"/>
      <charset val="129"/>
    </font>
    <font>
      <sz val="28"/>
      <color rgb="FF000000"/>
      <name val="돋움"/>
      <family val="3"/>
      <charset val="129"/>
    </font>
    <font>
      <sz val="9"/>
      <color rgb="FF00B050"/>
      <name val="새굴림"/>
      <family val="1"/>
      <charset val="129"/>
    </font>
    <font>
      <sz val="10"/>
      <color rgb="FF00B050"/>
      <name val="새굴림"/>
      <family val="1"/>
      <charset val="129"/>
    </font>
    <font>
      <sz val="9"/>
      <name val="새굴림"/>
      <family val="1"/>
      <charset val="129"/>
    </font>
    <font>
      <sz val="11"/>
      <color rgb="FFFF0000"/>
      <name val="맑은 고딕"/>
      <family val="3"/>
      <charset val="129"/>
      <scheme val="minor"/>
    </font>
    <font>
      <sz val="13"/>
      <name val="맑은 고딕"/>
      <family val="3"/>
      <charset val="129"/>
      <scheme val="major"/>
    </font>
    <font>
      <sz val="13"/>
      <name val="맑은 고딕"/>
      <family val="3"/>
      <charset val="129"/>
      <scheme val="minor"/>
    </font>
    <font>
      <sz val="8"/>
      <color rgb="FF000000"/>
      <name val="나눔고딕"/>
      <family val="3"/>
      <charset val="129"/>
    </font>
    <font>
      <sz val="8"/>
      <color rgb="FF000000"/>
      <name val="굴림"/>
      <family val="3"/>
      <charset val="129"/>
    </font>
    <font>
      <b/>
      <sz val="8"/>
      <name val="돋움"/>
      <family val="3"/>
      <charset val="129"/>
    </font>
    <font>
      <sz val="9"/>
      <color rgb="FFFF0000"/>
      <name val="돋움"/>
      <family val="3"/>
      <charset val="129"/>
    </font>
    <font>
      <u/>
      <sz val="9"/>
      <color theme="1"/>
      <name val="돋움"/>
      <family val="3"/>
      <charset val="129"/>
    </font>
    <font>
      <b/>
      <sz val="12"/>
      <color theme="0"/>
      <name val="맑은 고딕"/>
      <family val="3"/>
      <charset val="129"/>
      <scheme val="minor"/>
    </font>
    <font>
      <b/>
      <sz val="16"/>
      <color theme="1"/>
      <name val="나눔고딕"/>
      <family val="3"/>
      <charset val="129"/>
    </font>
    <font>
      <sz val="8.5"/>
      <name val="돋움"/>
      <family val="3"/>
      <charset val="129"/>
    </font>
  </fonts>
  <fills count="2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rgb="FFE4DFEC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C5D9F1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E1DDC9"/>
        <bgColor indexed="64"/>
      </patternFill>
    </fill>
    <fill>
      <patternFill patternType="solid">
        <fgColor rgb="FFEDCAC9"/>
        <bgColor indexed="64"/>
      </patternFill>
    </fill>
    <fill>
      <patternFill patternType="solid">
        <fgColor rgb="FFFDE2CB"/>
        <bgColor indexed="64"/>
      </patternFill>
    </fill>
    <fill>
      <patternFill patternType="solid">
        <fgColor rgb="FFE4EDF8"/>
        <bgColor indexed="64"/>
      </patternFill>
    </fill>
    <fill>
      <patternFill patternType="solid">
        <fgColor rgb="FFFDF5C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DDEBF7"/>
        <bgColor indexed="64"/>
      </patternFill>
    </fill>
  </fills>
  <borders count="3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medium">
        <color theme="1"/>
      </right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medium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medium">
        <color theme="1"/>
      </bottom>
      <diagonal/>
    </border>
    <border>
      <left/>
      <right/>
      <top style="thin">
        <color theme="1"/>
      </top>
      <bottom style="medium">
        <color theme="1"/>
      </bottom>
      <diagonal/>
    </border>
    <border>
      <left/>
      <right style="medium">
        <color theme="1"/>
      </right>
      <top style="thin">
        <color theme="1"/>
      </top>
      <bottom style="medium">
        <color theme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 diagonalUp="1" diagonalDown="1">
      <left/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/>
      <right/>
      <top/>
      <bottom style="medium">
        <color indexed="64"/>
      </bottom>
      <diagonal/>
    </border>
  </borders>
  <cellStyleXfs count="10">
    <xf numFmtId="0" fontId="0" fillId="0" borderId="0">
      <alignment vertical="center"/>
    </xf>
    <xf numFmtId="0" fontId="2" fillId="0" borderId="0"/>
    <xf numFmtId="41" fontId="1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7" fillId="3" borderId="5" applyNumberFormat="0" applyAlignment="0" applyProtection="0">
      <alignment vertical="center"/>
    </xf>
    <xf numFmtId="0" fontId="1" fillId="4" borderId="6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2" fillId="0" borderId="0"/>
  </cellStyleXfs>
  <cellXfs count="183">
    <xf numFmtId="0" fontId="0" fillId="0" borderId="0" xfId="0">
      <alignment vertical="center"/>
    </xf>
    <xf numFmtId="0" fontId="4" fillId="0" borderId="0" xfId="0" applyFont="1" applyAlignment="1">
      <alignment horizontal="center" vertical="center"/>
    </xf>
    <xf numFmtId="0" fontId="5" fillId="0" borderId="0" xfId="0" applyFont="1">
      <alignment vertical="center"/>
    </xf>
    <xf numFmtId="0" fontId="8" fillId="0" borderId="0" xfId="0" applyFont="1" applyAlignment="1">
      <alignment horizontal="center" vertical="center"/>
    </xf>
    <xf numFmtId="0" fontId="9" fillId="0" borderId="0" xfId="0" applyFont="1">
      <alignment vertical="center"/>
    </xf>
    <xf numFmtId="0" fontId="10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 shrinkToFit="1"/>
    </xf>
    <xf numFmtId="0" fontId="13" fillId="8" borderId="2" xfId="0" applyFont="1" applyFill="1" applyBorder="1" applyAlignment="1">
      <alignment horizontal="center" vertical="center" wrapText="1"/>
    </xf>
    <xf numFmtId="0" fontId="14" fillId="8" borderId="2" xfId="0" applyFont="1" applyFill="1" applyBorder="1" applyAlignment="1">
      <alignment horizontal="center" vertical="center" wrapText="1"/>
    </xf>
    <xf numFmtId="0" fontId="13" fillId="6" borderId="2" xfId="0" applyFont="1" applyFill="1" applyBorder="1" applyAlignment="1">
      <alignment horizontal="center" vertical="center" wrapText="1"/>
    </xf>
    <xf numFmtId="0" fontId="14" fillId="6" borderId="2" xfId="0" applyFont="1" applyFill="1" applyBorder="1" applyAlignment="1">
      <alignment horizontal="center" vertical="center" wrapText="1"/>
    </xf>
    <xf numFmtId="0" fontId="14" fillId="5" borderId="2" xfId="0" applyFont="1" applyFill="1" applyBorder="1" applyAlignment="1">
      <alignment horizontal="center" vertical="center" wrapText="1"/>
    </xf>
    <xf numFmtId="0" fontId="13" fillId="7" borderId="2" xfId="0" applyFont="1" applyFill="1" applyBorder="1" applyAlignment="1">
      <alignment horizontal="center" vertical="center" wrapText="1"/>
    </xf>
    <xf numFmtId="0" fontId="14" fillId="7" borderId="2" xfId="0" applyFont="1" applyFill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13" fillId="9" borderId="2" xfId="0" applyFont="1" applyFill="1" applyBorder="1" applyAlignment="1">
      <alignment horizontal="center" vertical="center" wrapText="1"/>
    </xf>
    <xf numFmtId="0" fontId="14" fillId="9" borderId="2" xfId="0" applyFont="1" applyFill="1" applyBorder="1" applyAlignment="1">
      <alignment horizontal="center" vertical="center" wrapText="1"/>
    </xf>
    <xf numFmtId="0" fontId="13" fillId="11" borderId="2" xfId="0" applyFont="1" applyFill="1" applyBorder="1" applyAlignment="1">
      <alignment horizontal="center" vertical="center" wrapText="1"/>
    </xf>
    <xf numFmtId="0" fontId="14" fillId="11" borderId="2" xfId="0" applyFont="1" applyFill="1" applyBorder="1" applyAlignment="1">
      <alignment horizontal="center" vertical="center" wrapText="1"/>
    </xf>
    <xf numFmtId="0" fontId="14" fillId="12" borderId="2" xfId="0" applyFont="1" applyFill="1" applyBorder="1" applyAlignment="1">
      <alignment horizontal="center" vertical="center" wrapText="1"/>
    </xf>
    <xf numFmtId="0" fontId="13" fillId="14" borderId="2" xfId="0" applyFont="1" applyFill="1" applyBorder="1" applyAlignment="1">
      <alignment horizontal="center" vertical="center" wrapText="1"/>
    </xf>
    <xf numFmtId="0" fontId="14" fillId="14" borderId="2" xfId="0" applyFont="1" applyFill="1" applyBorder="1" applyAlignment="1">
      <alignment horizontal="center" vertical="center" wrapText="1"/>
    </xf>
    <xf numFmtId="0" fontId="13" fillId="10" borderId="2" xfId="0" applyFont="1" applyFill="1" applyBorder="1" applyAlignment="1">
      <alignment horizontal="center" vertical="center" wrapText="1"/>
    </xf>
    <xf numFmtId="0" fontId="14" fillId="10" borderId="2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0" fillId="0" borderId="0" xfId="0" applyFont="1">
      <alignment vertical="center"/>
    </xf>
    <xf numFmtId="0" fontId="13" fillId="16" borderId="2" xfId="0" applyFont="1" applyFill="1" applyBorder="1" applyAlignment="1">
      <alignment horizontal="center" vertical="center" wrapText="1"/>
    </xf>
    <xf numFmtId="0" fontId="14" fillId="16" borderId="2" xfId="0" applyFont="1" applyFill="1" applyBorder="1" applyAlignment="1">
      <alignment horizontal="center" vertical="center" wrapText="1"/>
    </xf>
    <xf numFmtId="0" fontId="13" fillId="15" borderId="2" xfId="0" applyFont="1" applyFill="1" applyBorder="1" applyAlignment="1">
      <alignment horizontal="center" vertical="center" wrapText="1"/>
    </xf>
    <xf numFmtId="0" fontId="14" fillId="15" borderId="2" xfId="0" applyFont="1" applyFill="1" applyBorder="1" applyAlignment="1">
      <alignment horizontal="center" vertical="center" wrapText="1"/>
    </xf>
    <xf numFmtId="0" fontId="13" fillId="13" borderId="2" xfId="0" applyFont="1" applyFill="1" applyBorder="1" applyAlignment="1">
      <alignment horizontal="center" vertical="center" wrapText="1"/>
    </xf>
    <xf numFmtId="0" fontId="14" fillId="13" borderId="2" xfId="0" applyFont="1" applyFill="1" applyBorder="1" applyAlignment="1">
      <alignment horizontal="center" vertical="center" wrapText="1"/>
    </xf>
    <xf numFmtId="0" fontId="14" fillId="0" borderId="0" xfId="5" applyFont="1" applyFill="1" applyBorder="1" applyAlignment="1">
      <alignment horizontal="center" vertical="center" wrapText="1"/>
    </xf>
    <xf numFmtId="0" fontId="7" fillId="0" borderId="0" xfId="4" applyFill="1" applyBorder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14" fillId="4" borderId="2" xfId="5" applyFont="1" applyBorder="1" applyAlignment="1">
      <alignment horizontal="center" vertical="center" wrapText="1"/>
    </xf>
    <xf numFmtId="0" fontId="7" fillId="3" borderId="2" xfId="4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6" fillId="0" borderId="0" xfId="0" applyFont="1" applyAlignment="1">
      <alignment vertical="center" wrapText="1"/>
    </xf>
    <xf numFmtId="0" fontId="13" fillId="0" borderId="0" xfId="0" applyFont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0" fontId="13" fillId="12" borderId="2" xfId="0" applyFont="1" applyFill="1" applyBorder="1" applyAlignment="1">
      <alignment horizontal="center" vertical="center" wrapText="1"/>
    </xf>
    <xf numFmtId="0" fontId="18" fillId="0" borderId="0" xfId="6" applyFont="1">
      <alignment vertical="center"/>
    </xf>
    <xf numFmtId="0" fontId="24" fillId="3" borderId="2" xfId="4" applyFont="1" applyBorder="1" applyAlignment="1">
      <alignment horizontal="center" vertical="center"/>
    </xf>
    <xf numFmtId="0" fontId="23" fillId="4" borderId="2" xfId="5" applyFont="1" applyBorder="1" applyAlignment="1">
      <alignment horizontal="center" vertical="center" wrapText="1"/>
    </xf>
    <xf numFmtId="0" fontId="13" fillId="20" borderId="2" xfId="0" applyFont="1" applyFill="1" applyBorder="1" applyAlignment="1">
      <alignment horizontal="center" vertical="center" wrapText="1"/>
    </xf>
    <xf numFmtId="0" fontId="14" fillId="20" borderId="2" xfId="0" applyFont="1" applyFill="1" applyBorder="1" applyAlignment="1">
      <alignment horizontal="center" vertical="center" wrapText="1"/>
    </xf>
    <xf numFmtId="0" fontId="13" fillId="19" borderId="2" xfId="0" applyFont="1" applyFill="1" applyBorder="1" applyAlignment="1">
      <alignment horizontal="center" vertical="center" wrapText="1"/>
    </xf>
    <xf numFmtId="0" fontId="14" fillId="19" borderId="2" xfId="0" applyFont="1" applyFill="1" applyBorder="1" applyAlignment="1">
      <alignment horizontal="center" vertical="center" wrapText="1"/>
    </xf>
    <xf numFmtId="0" fontId="13" fillId="21" borderId="2" xfId="0" applyFont="1" applyFill="1" applyBorder="1" applyAlignment="1">
      <alignment horizontal="center" vertical="center" wrapText="1"/>
    </xf>
    <xf numFmtId="0" fontId="14" fillId="21" borderId="2" xfId="0" applyFont="1" applyFill="1" applyBorder="1" applyAlignment="1">
      <alignment horizontal="center" vertical="center" wrapText="1"/>
    </xf>
    <xf numFmtId="0" fontId="13" fillId="22" borderId="2" xfId="0" applyFont="1" applyFill="1" applyBorder="1" applyAlignment="1">
      <alignment horizontal="center" vertical="center" wrapText="1"/>
    </xf>
    <xf numFmtId="0" fontId="14" fillId="22" borderId="2" xfId="0" applyFont="1" applyFill="1" applyBorder="1" applyAlignment="1">
      <alignment horizontal="center" vertical="center" wrapText="1"/>
    </xf>
    <xf numFmtId="0" fontId="13" fillId="23" borderId="2" xfId="0" applyFont="1" applyFill="1" applyBorder="1" applyAlignment="1">
      <alignment horizontal="center" vertical="center" wrapText="1"/>
    </xf>
    <xf numFmtId="0" fontId="14" fillId="23" borderId="2" xfId="0" applyFont="1" applyFill="1" applyBorder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0" fontId="25" fillId="2" borderId="2" xfId="0" applyFont="1" applyFill="1" applyBorder="1" applyAlignment="1">
      <alignment horizontal="center" vertical="center" wrapText="1"/>
    </xf>
    <xf numFmtId="0" fontId="19" fillId="2" borderId="10" xfId="6" applyFont="1" applyFill="1" applyBorder="1" applyAlignment="1">
      <alignment horizontal="center" vertical="center"/>
    </xf>
    <xf numFmtId="0" fontId="19" fillId="2" borderId="11" xfId="6" applyFont="1" applyFill="1" applyBorder="1" applyAlignment="1">
      <alignment horizontal="center" vertical="center"/>
    </xf>
    <xf numFmtId="0" fontId="25" fillId="24" borderId="2" xfId="0" applyFont="1" applyFill="1" applyBorder="1" applyAlignment="1">
      <alignment horizontal="center" vertical="center" wrapText="1"/>
    </xf>
    <xf numFmtId="0" fontId="25" fillId="0" borderId="2" xfId="0" applyFont="1" applyBorder="1" applyAlignment="1">
      <alignment horizontal="center" vertical="center" wrapText="1"/>
    </xf>
    <xf numFmtId="0" fontId="25" fillId="24" borderId="2" xfId="0" applyFont="1" applyFill="1" applyBorder="1" applyAlignment="1">
      <alignment horizontal="center" vertical="center"/>
    </xf>
    <xf numFmtId="0" fontId="33" fillId="0" borderId="2" xfId="0" applyFont="1" applyBorder="1" applyAlignment="1">
      <alignment horizontal="center" vertical="center" wrapText="1"/>
    </xf>
    <xf numFmtId="0" fontId="34" fillId="0" borderId="2" xfId="0" applyFont="1" applyBorder="1" applyAlignment="1">
      <alignment horizontal="center" vertical="center"/>
    </xf>
    <xf numFmtId="0" fontId="27" fillId="0" borderId="2" xfId="0" applyFont="1" applyBorder="1" applyAlignment="1">
      <alignment horizontal="center" vertical="center" wrapText="1"/>
    </xf>
    <xf numFmtId="0" fontId="27" fillId="0" borderId="2" xfId="0" applyFont="1" applyBorder="1" applyAlignment="1">
      <alignment horizontal="center" vertical="center"/>
    </xf>
    <xf numFmtId="0" fontId="33" fillId="24" borderId="2" xfId="0" applyFont="1" applyFill="1" applyBorder="1" applyAlignment="1">
      <alignment horizontal="center" vertical="center" wrapText="1"/>
    </xf>
    <xf numFmtId="0" fontId="35" fillId="24" borderId="2" xfId="0" applyFont="1" applyFill="1" applyBorder="1" applyAlignment="1">
      <alignment horizontal="center" vertical="center" wrapText="1"/>
    </xf>
    <xf numFmtId="0" fontId="36" fillId="0" borderId="2" xfId="0" applyFont="1" applyBorder="1" applyAlignment="1">
      <alignment horizontal="center" vertical="center" wrapText="1"/>
    </xf>
    <xf numFmtId="0" fontId="34" fillId="2" borderId="0" xfId="0" applyFont="1" applyFill="1" applyAlignment="1">
      <alignment horizontal="center" vertical="center"/>
    </xf>
    <xf numFmtId="0" fontId="37" fillId="0" borderId="2" xfId="0" applyFont="1" applyBorder="1" applyAlignment="1">
      <alignment horizontal="center" vertical="center"/>
    </xf>
    <xf numFmtId="0" fontId="33" fillId="2" borderId="2" xfId="0" applyFont="1" applyFill="1" applyBorder="1" applyAlignment="1">
      <alignment horizontal="center" vertical="center" wrapText="1"/>
    </xf>
    <xf numFmtId="0" fontId="25" fillId="2" borderId="2" xfId="0" applyFont="1" applyFill="1" applyBorder="1" applyAlignment="1">
      <alignment horizontal="center" vertical="center"/>
    </xf>
    <xf numFmtId="0" fontId="25" fillId="2" borderId="0" xfId="0" applyFont="1" applyFill="1" applyAlignment="1">
      <alignment horizontal="center" vertical="center"/>
    </xf>
    <xf numFmtId="0" fontId="38" fillId="2" borderId="2" xfId="0" applyFont="1" applyFill="1" applyBorder="1" applyAlignment="1">
      <alignment horizontal="center" vertical="center" wrapText="1"/>
    </xf>
    <xf numFmtId="0" fontId="38" fillId="2" borderId="2" xfId="0" applyFont="1" applyFill="1" applyBorder="1" applyAlignment="1">
      <alignment horizontal="center" vertical="center"/>
    </xf>
    <xf numFmtId="177" fontId="40" fillId="0" borderId="2" xfId="0" applyNumberFormat="1" applyFont="1" applyBorder="1" applyAlignment="1">
      <alignment horizontal="center" vertical="center" shrinkToFit="1"/>
    </xf>
    <xf numFmtId="177" fontId="41" fillId="0" borderId="2" xfId="0" applyNumberFormat="1" applyFont="1" applyBorder="1" applyAlignment="1" applyProtection="1">
      <alignment horizontal="center" vertical="center"/>
      <protection locked="0" hidden="1"/>
    </xf>
    <xf numFmtId="0" fontId="42" fillId="0" borderId="2" xfId="0" applyFont="1" applyBorder="1" applyAlignment="1">
      <alignment horizontal="center" vertical="center" shrinkToFit="1"/>
    </xf>
    <xf numFmtId="14" fontId="42" fillId="0" borderId="2" xfId="0" applyNumberFormat="1" applyFont="1" applyBorder="1" applyAlignment="1">
      <alignment horizontal="center" vertical="center"/>
    </xf>
    <xf numFmtId="0" fontId="43" fillId="0" borderId="2" xfId="0" applyFont="1" applyBorder="1" applyAlignment="1">
      <alignment horizontal="center" vertical="center" shrinkToFit="1"/>
    </xf>
    <xf numFmtId="0" fontId="11" fillId="2" borderId="30" xfId="0" applyFont="1" applyFill="1" applyBorder="1" applyAlignment="1">
      <alignment horizontal="center" vertical="center"/>
    </xf>
    <xf numFmtId="0" fontId="11" fillId="2" borderId="31" xfId="0" applyFont="1" applyFill="1" applyBorder="1" applyAlignment="1">
      <alignment horizontal="center" vertical="center"/>
    </xf>
    <xf numFmtId="0" fontId="6" fillId="2" borderId="31" xfId="0" applyFont="1" applyFill="1" applyBorder="1" applyAlignment="1">
      <alignment horizontal="center" vertical="center"/>
    </xf>
    <xf numFmtId="0" fontId="6" fillId="2" borderId="32" xfId="0" applyFont="1" applyFill="1" applyBorder="1" applyAlignment="1">
      <alignment horizontal="center" vertical="center"/>
    </xf>
    <xf numFmtId="0" fontId="8" fillId="0" borderId="33" xfId="0" applyFont="1" applyBorder="1" applyAlignment="1">
      <alignment horizontal="center" vertical="center"/>
    </xf>
    <xf numFmtId="0" fontId="4" fillId="19" borderId="0" xfId="0" applyFont="1" applyFill="1" applyAlignment="1">
      <alignment horizontal="center" vertical="center"/>
    </xf>
    <xf numFmtId="0" fontId="39" fillId="19" borderId="0" xfId="2" applyNumberFormat="1" applyFont="1" applyFill="1" applyBorder="1" applyAlignment="1">
      <alignment horizontal="center" vertical="center" shrinkToFit="1"/>
    </xf>
    <xf numFmtId="0" fontId="11" fillId="19" borderId="0" xfId="0" applyFont="1" applyFill="1" applyAlignment="1">
      <alignment horizontal="center" vertical="center"/>
    </xf>
    <xf numFmtId="0" fontId="45" fillId="0" borderId="34" xfId="2" applyNumberFormat="1" applyFont="1" applyFill="1" applyBorder="1" applyAlignment="1">
      <alignment horizontal="center" vertical="center" shrinkToFit="1"/>
    </xf>
    <xf numFmtId="0" fontId="45" fillId="0" borderId="4" xfId="2" applyNumberFormat="1" applyFont="1" applyFill="1" applyBorder="1" applyAlignment="1">
      <alignment horizontal="center" vertical="center" shrinkToFit="1"/>
    </xf>
    <xf numFmtId="177" fontId="41" fillId="19" borderId="2" xfId="0" applyNumberFormat="1" applyFont="1" applyFill="1" applyBorder="1" applyAlignment="1" applyProtection="1">
      <alignment horizontal="center" vertical="center"/>
      <protection locked="0" hidden="1"/>
    </xf>
    <xf numFmtId="177" fontId="41" fillId="19" borderId="8" xfId="0" applyNumberFormat="1" applyFont="1" applyFill="1" applyBorder="1" applyAlignment="1" applyProtection="1">
      <alignment horizontal="center" vertical="center"/>
      <protection locked="0" hidden="1"/>
    </xf>
    <xf numFmtId="0" fontId="46" fillId="14" borderId="2" xfId="0" applyFont="1" applyFill="1" applyBorder="1" applyAlignment="1">
      <alignment horizontal="center" vertical="center" wrapText="1"/>
    </xf>
    <xf numFmtId="0" fontId="46" fillId="5" borderId="2" xfId="0" applyFont="1" applyFill="1" applyBorder="1" applyAlignment="1">
      <alignment horizontal="center" vertical="center" wrapText="1"/>
    </xf>
    <xf numFmtId="0" fontId="46" fillId="7" borderId="2" xfId="0" applyFont="1" applyFill="1" applyBorder="1" applyAlignment="1">
      <alignment horizontal="center" vertical="center" wrapText="1"/>
    </xf>
    <xf numFmtId="0" fontId="13" fillId="24" borderId="2" xfId="0" applyFont="1" applyFill="1" applyBorder="1" applyAlignment="1">
      <alignment horizontal="center" vertical="center" wrapText="1"/>
    </xf>
    <xf numFmtId="0" fontId="26" fillId="24" borderId="2" xfId="0" applyFont="1" applyFill="1" applyBorder="1" applyAlignment="1">
      <alignment horizontal="center" vertical="center" wrapText="1"/>
    </xf>
    <xf numFmtId="0" fontId="13" fillId="25" borderId="2" xfId="0" applyFont="1" applyFill="1" applyBorder="1" applyAlignment="1">
      <alignment horizontal="center" vertical="center" wrapText="1"/>
    </xf>
    <xf numFmtId="0" fontId="13" fillId="26" borderId="2" xfId="0" applyFont="1" applyFill="1" applyBorder="1" applyAlignment="1">
      <alignment horizontal="center" vertical="center" wrapText="1"/>
    </xf>
    <xf numFmtId="0" fontId="13" fillId="27" borderId="2" xfId="0" applyFont="1" applyFill="1" applyBorder="1" applyAlignment="1">
      <alignment horizontal="center" vertical="center" wrapText="1"/>
    </xf>
    <xf numFmtId="0" fontId="13" fillId="28" borderId="2" xfId="0" applyFont="1" applyFill="1" applyBorder="1" applyAlignment="1">
      <alignment horizontal="center" vertical="center" wrapText="1"/>
    </xf>
    <xf numFmtId="0" fontId="46" fillId="10" borderId="2" xfId="0" applyFont="1" applyFill="1" applyBorder="1" applyAlignment="1">
      <alignment horizontal="center" vertical="center" wrapText="1"/>
    </xf>
    <xf numFmtId="0" fontId="46" fillId="0" borderId="2" xfId="0" applyFont="1" applyBorder="1" applyAlignment="1">
      <alignment horizontal="center" vertical="center" wrapText="1"/>
    </xf>
    <xf numFmtId="0" fontId="22" fillId="25" borderId="2" xfId="0" applyFont="1" applyFill="1" applyBorder="1" applyAlignment="1">
      <alignment horizontal="center" vertical="center" textRotation="255"/>
    </xf>
    <xf numFmtId="0" fontId="25" fillId="2" borderId="2" xfId="0" applyFont="1" applyFill="1" applyBorder="1" applyAlignment="1">
      <alignment horizontal="center" vertical="center" wrapText="1"/>
    </xf>
    <xf numFmtId="0" fontId="22" fillId="19" borderId="3" xfId="6" applyFont="1" applyFill="1" applyBorder="1" applyAlignment="1">
      <alignment horizontal="center" vertical="center"/>
    </xf>
    <xf numFmtId="0" fontId="22" fillId="19" borderId="2" xfId="6" applyFont="1" applyFill="1" applyBorder="1" applyAlignment="1">
      <alignment horizontal="center" vertical="center"/>
    </xf>
    <xf numFmtId="20" fontId="22" fillId="19" borderId="2" xfId="6" applyNumberFormat="1" applyFont="1" applyFill="1" applyBorder="1" applyAlignment="1">
      <alignment horizontal="center" vertical="center" wrapText="1"/>
    </xf>
    <xf numFmtId="0" fontId="28" fillId="0" borderId="16" xfId="0" applyFont="1" applyBorder="1" applyAlignment="1">
      <alignment horizontal="center" vertical="center" textRotation="255" wrapText="1"/>
    </xf>
    <xf numFmtId="0" fontId="28" fillId="0" borderId="3" xfId="0" applyFont="1" applyBorder="1" applyAlignment="1">
      <alignment horizontal="center" vertical="center" textRotation="255" wrapText="1"/>
    </xf>
    <xf numFmtId="0" fontId="25" fillId="2" borderId="2" xfId="0" applyFont="1" applyFill="1" applyBorder="1" applyAlignment="1">
      <alignment horizontal="center" vertical="center" textRotation="255" wrapText="1"/>
    </xf>
    <xf numFmtId="0" fontId="22" fillId="0" borderId="2" xfId="6" applyFont="1" applyBorder="1" applyAlignment="1">
      <alignment horizontal="center" vertical="center"/>
    </xf>
    <xf numFmtId="0" fontId="27" fillId="0" borderId="16" xfId="0" applyFont="1" applyBorder="1" applyAlignment="1">
      <alignment horizontal="center" vertical="center" textRotation="255" wrapText="1"/>
    </xf>
    <xf numFmtId="0" fontId="27" fillId="0" borderId="3" xfId="0" applyFont="1" applyBorder="1" applyAlignment="1">
      <alignment horizontal="center" vertical="center" textRotation="255" wrapText="1"/>
    </xf>
    <xf numFmtId="0" fontId="22" fillId="0" borderId="2" xfId="6" applyFont="1" applyBorder="1" applyAlignment="1">
      <alignment horizontal="center" vertical="center" wrapText="1"/>
    </xf>
    <xf numFmtId="20" fontId="22" fillId="19" borderId="14" xfId="6" applyNumberFormat="1" applyFont="1" applyFill="1" applyBorder="1" applyAlignment="1">
      <alignment horizontal="center" vertical="center" wrapText="1"/>
    </xf>
    <xf numFmtId="20" fontId="22" fillId="19" borderId="15" xfId="6" applyNumberFormat="1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textRotation="255" wrapText="1"/>
    </xf>
    <xf numFmtId="0" fontId="25" fillId="0" borderId="16" xfId="0" applyFont="1" applyBorder="1" applyAlignment="1">
      <alignment horizontal="center" vertical="center" textRotation="255" wrapText="1"/>
    </xf>
    <xf numFmtId="0" fontId="25" fillId="0" borderId="3" xfId="0" applyFont="1" applyBorder="1" applyAlignment="1">
      <alignment horizontal="center" vertical="center" textRotation="255" wrapText="1"/>
    </xf>
    <xf numFmtId="0" fontId="22" fillId="18" borderId="2" xfId="6" applyFont="1" applyFill="1" applyBorder="1" applyAlignment="1">
      <alignment horizontal="center" vertical="center" wrapText="1"/>
    </xf>
    <xf numFmtId="176" fontId="22" fillId="18" borderId="7" xfId="6" applyNumberFormat="1" applyFont="1" applyFill="1" applyBorder="1" applyAlignment="1">
      <alignment horizontal="center" vertical="center" wrapText="1"/>
    </xf>
    <xf numFmtId="0" fontId="20" fillId="18" borderId="2" xfId="6" applyFont="1" applyFill="1" applyBorder="1" applyAlignment="1">
      <alignment horizontal="center" vertical="center" wrapText="1"/>
    </xf>
    <xf numFmtId="0" fontId="20" fillId="18" borderId="7" xfId="6" applyFont="1" applyFill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textRotation="255"/>
    </xf>
    <xf numFmtId="0" fontId="25" fillId="24" borderId="16" xfId="0" applyFont="1" applyFill="1" applyBorder="1" applyAlignment="1">
      <alignment horizontal="center" vertical="center" wrapText="1"/>
    </xf>
    <xf numFmtId="0" fontId="25" fillId="24" borderId="3" xfId="0" applyFont="1" applyFill="1" applyBorder="1" applyAlignment="1">
      <alignment horizontal="center" vertical="center" wrapText="1"/>
    </xf>
    <xf numFmtId="0" fontId="25" fillId="24" borderId="16" xfId="0" applyFont="1" applyFill="1" applyBorder="1" applyAlignment="1">
      <alignment horizontal="center" vertical="center" textRotation="255" wrapText="1"/>
    </xf>
    <xf numFmtId="0" fontId="25" fillId="24" borderId="3" xfId="0" applyFont="1" applyFill="1" applyBorder="1" applyAlignment="1">
      <alignment horizontal="center" vertical="center" textRotation="255" wrapText="1"/>
    </xf>
    <xf numFmtId="0" fontId="22" fillId="28" borderId="2" xfId="0" applyFont="1" applyFill="1" applyBorder="1" applyAlignment="1">
      <alignment horizontal="center" vertical="center" textRotation="255"/>
    </xf>
    <xf numFmtId="0" fontId="22" fillId="24" borderId="16" xfId="0" applyFont="1" applyFill="1" applyBorder="1" applyAlignment="1">
      <alignment horizontal="center" vertical="center" textRotation="255"/>
    </xf>
    <xf numFmtId="0" fontId="22" fillId="24" borderId="3" xfId="0" applyFont="1" applyFill="1" applyBorder="1" applyAlignment="1">
      <alignment horizontal="center" vertical="center" textRotation="255"/>
    </xf>
    <xf numFmtId="0" fontId="22" fillId="18" borderId="8" xfId="6" applyFont="1" applyFill="1" applyBorder="1" applyAlignment="1">
      <alignment horizontal="center" vertical="center" wrapText="1"/>
    </xf>
    <xf numFmtId="0" fontId="22" fillId="18" borderId="17" xfId="6" applyFont="1" applyFill="1" applyBorder="1" applyAlignment="1">
      <alignment horizontal="center" vertical="center" wrapText="1"/>
    </xf>
    <xf numFmtId="176" fontId="22" fillId="18" borderId="12" xfId="6" applyNumberFormat="1" applyFont="1" applyFill="1" applyBorder="1" applyAlignment="1">
      <alignment horizontal="center" vertical="center" wrapText="1"/>
    </xf>
    <xf numFmtId="176" fontId="22" fillId="18" borderId="13" xfId="6" applyNumberFormat="1" applyFont="1" applyFill="1" applyBorder="1" applyAlignment="1">
      <alignment horizontal="center" vertical="center" wrapText="1"/>
    </xf>
    <xf numFmtId="0" fontId="22" fillId="12" borderId="16" xfId="0" applyFont="1" applyFill="1" applyBorder="1" applyAlignment="1">
      <alignment horizontal="center" vertical="center" textRotation="255"/>
    </xf>
    <xf numFmtId="0" fontId="22" fillId="12" borderId="3" xfId="0" applyFont="1" applyFill="1" applyBorder="1" applyAlignment="1">
      <alignment horizontal="center" vertical="center" textRotation="255"/>
    </xf>
    <xf numFmtId="0" fontId="22" fillId="13" borderId="2" xfId="0" applyFont="1" applyFill="1" applyBorder="1" applyAlignment="1">
      <alignment horizontal="center" vertical="center" textRotation="255"/>
    </xf>
    <xf numFmtId="0" fontId="22" fillId="20" borderId="2" xfId="0" applyFont="1" applyFill="1" applyBorder="1" applyAlignment="1">
      <alignment horizontal="center" vertical="center" textRotation="255"/>
    </xf>
    <xf numFmtId="0" fontId="22" fillId="9" borderId="2" xfId="0" applyFont="1" applyFill="1" applyBorder="1" applyAlignment="1">
      <alignment horizontal="center" vertical="center" textRotation="255"/>
    </xf>
    <xf numFmtId="0" fontId="22" fillId="27" borderId="2" xfId="0" applyFont="1" applyFill="1" applyBorder="1" applyAlignment="1">
      <alignment horizontal="center" vertical="center" textRotation="255"/>
    </xf>
    <xf numFmtId="0" fontId="22" fillId="24" borderId="2" xfId="0" applyFont="1" applyFill="1" applyBorder="1" applyAlignment="1">
      <alignment horizontal="center" vertical="center" textRotation="255"/>
    </xf>
    <xf numFmtId="0" fontId="28" fillId="24" borderId="2" xfId="0" applyFont="1" applyFill="1" applyBorder="1" applyAlignment="1">
      <alignment horizontal="center" vertical="center" textRotation="255"/>
    </xf>
    <xf numFmtId="0" fontId="22" fillId="10" borderId="2" xfId="0" applyFont="1" applyFill="1" applyBorder="1" applyAlignment="1">
      <alignment horizontal="center" vertical="center" textRotation="255"/>
    </xf>
    <xf numFmtId="0" fontId="22" fillId="7" borderId="2" xfId="0" applyFont="1" applyFill="1" applyBorder="1" applyAlignment="1">
      <alignment horizontal="center" vertical="center" textRotation="255"/>
    </xf>
    <xf numFmtId="0" fontId="22" fillId="5" borderId="2" xfId="0" applyFont="1" applyFill="1" applyBorder="1" applyAlignment="1">
      <alignment horizontal="center" vertical="center" textRotation="255"/>
    </xf>
    <xf numFmtId="0" fontId="22" fillId="6" borderId="16" xfId="0" applyFont="1" applyFill="1" applyBorder="1" applyAlignment="1">
      <alignment horizontal="center" vertical="center" textRotation="255"/>
    </xf>
    <xf numFmtId="0" fontId="22" fillId="6" borderId="3" xfId="0" applyFont="1" applyFill="1" applyBorder="1" applyAlignment="1">
      <alignment horizontal="center" vertical="center" textRotation="255"/>
    </xf>
    <xf numFmtId="0" fontId="22" fillId="26" borderId="2" xfId="0" applyFont="1" applyFill="1" applyBorder="1" applyAlignment="1">
      <alignment horizontal="center" vertical="center" textRotation="255"/>
    </xf>
    <xf numFmtId="0" fontId="22" fillId="8" borderId="2" xfId="0" applyFont="1" applyFill="1" applyBorder="1" applyAlignment="1">
      <alignment horizontal="center" vertical="center" textRotation="255"/>
    </xf>
    <xf numFmtId="0" fontId="22" fillId="12" borderId="2" xfId="0" applyFont="1" applyFill="1" applyBorder="1" applyAlignment="1">
      <alignment horizontal="center" vertical="center" textRotation="255"/>
    </xf>
    <xf numFmtId="0" fontId="18" fillId="0" borderId="0" xfId="6" applyFont="1" applyAlignment="1">
      <alignment horizontal="left" vertical="center" indent="1"/>
    </xf>
    <xf numFmtId="0" fontId="18" fillId="0" borderId="1" xfId="6" applyFont="1" applyBorder="1" applyAlignment="1">
      <alignment horizontal="left" vertical="center" indent="1"/>
    </xf>
    <xf numFmtId="0" fontId="18" fillId="0" borderId="1" xfId="6" applyFont="1" applyBorder="1" applyAlignment="1">
      <alignment horizontal="right" vertical="center"/>
    </xf>
    <xf numFmtId="0" fontId="29" fillId="0" borderId="0" xfId="6" applyFont="1" applyAlignment="1">
      <alignment horizontal="center" vertical="center"/>
    </xf>
    <xf numFmtId="0" fontId="19" fillId="2" borderId="9" xfId="6" applyFont="1" applyFill="1" applyBorder="1" applyAlignment="1">
      <alignment horizontal="center" vertical="center"/>
    </xf>
    <xf numFmtId="0" fontId="19" fillId="2" borderId="10" xfId="6" applyFont="1" applyFill="1" applyBorder="1" applyAlignment="1">
      <alignment horizontal="center" vertical="center"/>
    </xf>
    <xf numFmtId="0" fontId="49" fillId="0" borderId="18" xfId="6" applyFont="1" applyBorder="1" applyAlignment="1">
      <alignment horizontal="center" vertical="center" wrapText="1" shrinkToFit="1"/>
    </xf>
    <xf numFmtId="0" fontId="49" fillId="0" borderId="19" xfId="6" applyFont="1" applyBorder="1" applyAlignment="1">
      <alignment horizontal="center" vertical="center" wrapText="1" shrinkToFit="1"/>
    </xf>
    <xf numFmtId="0" fontId="49" fillId="0" borderId="20" xfId="6" applyFont="1" applyBorder="1" applyAlignment="1">
      <alignment horizontal="center" vertical="center" wrapText="1" shrinkToFit="1"/>
    </xf>
    <xf numFmtId="0" fontId="49" fillId="0" borderId="21" xfId="6" applyFont="1" applyBorder="1" applyAlignment="1">
      <alignment horizontal="center" vertical="center" wrapText="1" shrinkToFit="1"/>
    </xf>
    <xf numFmtId="0" fontId="49" fillId="0" borderId="22" xfId="6" applyFont="1" applyBorder="1" applyAlignment="1">
      <alignment horizontal="center" vertical="center" wrapText="1" shrinkToFit="1"/>
    </xf>
    <xf numFmtId="0" fontId="49" fillId="0" borderId="23" xfId="6" applyFont="1" applyBorder="1" applyAlignment="1">
      <alignment horizontal="center" vertical="center" wrapText="1" shrinkToFit="1"/>
    </xf>
    <xf numFmtId="0" fontId="47" fillId="17" borderId="0" xfId="6" applyFont="1" applyFill="1" applyAlignment="1">
      <alignment horizontal="center" vertical="center" wrapText="1"/>
    </xf>
    <xf numFmtId="0" fontId="31" fillId="17" borderId="0" xfId="6" applyFont="1" applyFill="1" applyAlignment="1">
      <alignment horizontal="center" vertical="center" wrapText="1"/>
    </xf>
    <xf numFmtId="0" fontId="19" fillId="0" borderId="24" xfId="6" quotePrefix="1" applyFont="1" applyBorder="1" applyAlignment="1">
      <alignment horizontal="center" vertical="center"/>
    </xf>
    <xf numFmtId="0" fontId="19" fillId="0" borderId="25" xfId="6" quotePrefix="1" applyFont="1" applyBorder="1" applyAlignment="1">
      <alignment horizontal="center" vertical="center"/>
    </xf>
    <xf numFmtId="0" fontId="19" fillId="0" borderId="26" xfId="6" quotePrefix="1" applyFont="1" applyBorder="1" applyAlignment="1">
      <alignment horizontal="center" vertical="center"/>
    </xf>
    <xf numFmtId="0" fontId="19" fillId="0" borderId="24" xfId="6" applyFont="1" applyBorder="1" applyAlignment="1">
      <alignment horizontal="center" vertical="center"/>
    </xf>
    <xf numFmtId="0" fontId="19" fillId="0" borderId="25" xfId="6" applyFont="1" applyBorder="1" applyAlignment="1">
      <alignment horizontal="center" vertical="center"/>
    </xf>
    <xf numFmtId="0" fontId="19" fillId="0" borderId="26" xfId="6" applyFont="1" applyBorder="1" applyAlignment="1">
      <alignment horizontal="center" vertical="center"/>
    </xf>
    <xf numFmtId="0" fontId="19" fillId="20" borderId="24" xfId="6" applyFont="1" applyFill="1" applyBorder="1" applyAlignment="1">
      <alignment horizontal="center" vertical="center" wrapText="1" shrinkToFit="1"/>
    </xf>
    <xf numFmtId="0" fontId="19" fillId="20" borderId="25" xfId="6" applyFont="1" applyFill="1" applyBorder="1" applyAlignment="1">
      <alignment horizontal="center" vertical="center" wrapText="1" shrinkToFit="1"/>
    </xf>
    <xf numFmtId="0" fontId="19" fillId="20" borderId="26" xfId="6" applyFont="1" applyFill="1" applyBorder="1" applyAlignment="1">
      <alignment horizontal="center" vertical="center" wrapText="1" shrinkToFit="1"/>
    </xf>
    <xf numFmtId="0" fontId="19" fillId="20" borderId="27" xfId="6" applyFont="1" applyFill="1" applyBorder="1" applyAlignment="1">
      <alignment horizontal="center" vertical="center" shrinkToFit="1"/>
    </xf>
    <xf numFmtId="0" fontId="19" fillId="20" borderId="28" xfId="6" applyFont="1" applyFill="1" applyBorder="1" applyAlignment="1">
      <alignment horizontal="center" vertical="center" shrinkToFit="1"/>
    </xf>
    <xf numFmtId="0" fontId="19" fillId="20" borderId="29" xfId="6" applyFont="1" applyFill="1" applyBorder="1" applyAlignment="1">
      <alignment horizontal="center" vertical="center" shrinkToFit="1"/>
    </xf>
    <xf numFmtId="0" fontId="48" fillId="0" borderId="35" xfId="0" applyFont="1" applyBorder="1" applyAlignment="1">
      <alignment horizontal="center" vertical="center" wrapText="1"/>
    </xf>
  </cellXfs>
  <cellStyles count="10">
    <cellStyle name="계산" xfId="4" builtinId="22"/>
    <cellStyle name="메모" xfId="5" builtinId="10"/>
    <cellStyle name="쉼표 [0]" xfId="2" builtinId="6"/>
    <cellStyle name="표준" xfId="0" builtinId="0"/>
    <cellStyle name="표준 2" xfId="1"/>
    <cellStyle name="표준 2 2" xfId="6"/>
    <cellStyle name="표준 3" xfId="3"/>
    <cellStyle name="표준 36" xfId="8"/>
    <cellStyle name="표준 4" xfId="9"/>
    <cellStyle name="표준 46" xfId="7"/>
  </cellStyles>
  <dxfs count="4">
    <dxf>
      <font>
        <b/>
        <i/>
        <color rgb="FFFF0000"/>
      </font>
    </dxf>
    <dxf>
      <font>
        <color rgb="FF0000FF"/>
      </font>
    </dxf>
    <dxf>
      <font>
        <b/>
        <i/>
        <color rgb="FFFF0000"/>
      </font>
    </dxf>
    <dxf>
      <font>
        <color rgb="FF0000FF"/>
      </font>
    </dxf>
  </dxfs>
  <tableStyles count="0" defaultTableStyle="TableStyleMedium2" defaultPivotStyle="PivotStyleLight16"/>
  <colors>
    <mruColors>
      <color rgb="FFE1DDC9"/>
      <color rgb="FFFFE699"/>
      <color rgb="FFFFFFFF"/>
      <color rgb="FFEDCAC9"/>
      <color rgb="FFF2DCDB"/>
      <color rgb="FFDDEBF7"/>
      <color rgb="FFFDF5C3"/>
      <color rgb="FFC5D9F1"/>
      <color rgb="FFE4DFEC"/>
      <color rgb="FFC6E0B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203308</xdr:colOff>
      <xdr:row>0</xdr:row>
      <xdr:rowOff>128868</xdr:rowOff>
    </xdr:from>
    <xdr:to>
      <xdr:col>0</xdr:col>
      <xdr:colOff>401428</xdr:colOff>
      <xdr:row>1</xdr:row>
      <xdr:rowOff>134471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6016F2D-577D-452B-A85C-3D99A0A999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141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r="89025" b="10330"/>
        <a:stretch/>
      </xdr:blipFill>
      <xdr:spPr>
        <a:xfrm>
          <a:off x="203308" y="128868"/>
          <a:ext cx="198120" cy="29135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\1&#44368;&#50977;&#51109;\2019&#45380;&#46020;\&#44368;&#47924;&#44284;&#51221;&#50868;&#50689;\2015&#45380;%20&#44397;&#44032;&#44592;&#44036;%20&#49464;&#48512;&#51068;&#51221;&#54364;\2015&#45380;&#46020;-&#54617;&#49324;&#51068;&#51221;&#54364;(&#44397;&#44032;&#44592;&#44036;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ohee\Desktop\Users\&#44608;&#49457;&#50864;&#54924;&#49324;\Desktop\2015&#45380;%20&#44397;&#44032;&#44592;&#44036;%20&#49464;&#48512;&#51068;&#51221;&#54364;\2015&#45380;&#46020;-&#54617;&#49324;&#51068;&#51221;&#54364;(&#44397;&#44032;&#44592;&#44036;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원본"/>
      <sheetName val="1년-3월3일"/>
      <sheetName val="원본2"/>
      <sheetName val="보조시트"/>
      <sheetName val="보조시트2"/>
      <sheetName val="보조시트3"/>
      <sheetName val="Sheet2"/>
      <sheetName val="기본양식"/>
      <sheetName val="Sheet3"/>
      <sheetName val="최종원본3"/>
      <sheetName val="가공"/>
      <sheetName val="사출금형(1230)"/>
      <sheetName val="알곤용접(210)"/>
      <sheetName val="컴퓨터응용기계(210)"/>
      <sheetName val="생산정보시스템(0227"/>
      <sheetName val="치공구(0303)"/>
      <sheetName val="생산기계(303)"/>
      <sheetName val="기계설계(316)"/>
      <sheetName val="생산기계(0320)"/>
      <sheetName val="밀링(323)"/>
      <sheetName val="cnc선반(0427"/>
      <sheetName val="밀링(0521)"/>
      <sheetName val="기계설계(0622)"/>
      <sheetName val="치공구(0724)"/>
      <sheetName val="2015년도-학사일정표(국가기간)"/>
    </sheetNames>
    <sheetDataSet>
      <sheetData sheetId="0"/>
      <sheetData sheetId="1"/>
      <sheetData sheetId="2">
        <row r="10">
          <cell r="AC10">
            <v>7</v>
          </cell>
        </row>
        <row r="11">
          <cell r="AC11">
            <v>7</v>
          </cell>
        </row>
        <row r="12">
          <cell r="AC12">
            <v>7</v>
          </cell>
        </row>
        <row r="13">
          <cell r="AC13">
            <v>7</v>
          </cell>
        </row>
        <row r="14">
          <cell r="AC14">
            <v>7</v>
          </cell>
        </row>
        <row r="16">
          <cell r="AE16" t="str">
            <v>공휴일(양력)</v>
          </cell>
        </row>
        <row r="17">
          <cell r="AE17">
            <v>1</v>
          </cell>
        </row>
        <row r="18">
          <cell r="AE18">
            <v>61</v>
          </cell>
        </row>
        <row r="19">
          <cell r="AE19">
            <v>126</v>
          </cell>
        </row>
        <row r="20">
          <cell r="AE20">
            <v>158</v>
          </cell>
        </row>
        <row r="21">
          <cell r="AE21">
            <v>228</v>
          </cell>
        </row>
        <row r="22">
          <cell r="AE22">
            <v>277</v>
          </cell>
        </row>
        <row r="23">
          <cell r="AE23">
            <v>360</v>
          </cell>
        </row>
        <row r="24">
          <cell r="AE24">
            <v>1</v>
          </cell>
        </row>
        <row r="25">
          <cell r="AE25">
            <v>61</v>
          </cell>
        </row>
        <row r="26">
          <cell r="AE26">
            <v>126</v>
          </cell>
        </row>
        <row r="27">
          <cell r="AE27">
            <v>158</v>
          </cell>
        </row>
        <row r="28">
          <cell r="AE28">
            <v>228</v>
          </cell>
        </row>
        <row r="29">
          <cell r="AE29">
            <v>277</v>
          </cell>
        </row>
        <row r="30">
          <cell r="AE30">
            <v>390</v>
          </cell>
        </row>
        <row r="31">
          <cell r="AE31">
            <v>40577</v>
          </cell>
        </row>
        <row r="32">
          <cell r="AE32">
            <v>40576</v>
          </cell>
        </row>
        <row r="33">
          <cell r="AE33">
            <v>40578</v>
          </cell>
        </row>
        <row r="34">
          <cell r="AE34">
            <v>40798</v>
          </cell>
        </row>
        <row r="35">
          <cell r="AE35">
            <v>40797</v>
          </cell>
        </row>
        <row r="36">
          <cell r="AE36">
            <v>40799</v>
          </cell>
        </row>
        <row r="37">
          <cell r="AE37">
            <v>40673</v>
          </cell>
        </row>
        <row r="38">
          <cell r="AE38">
            <v>0</v>
          </cell>
        </row>
        <row r="39">
          <cell r="AE39">
            <v>0</v>
          </cell>
        </row>
        <row r="40">
          <cell r="AE40">
            <v>0</v>
          </cell>
        </row>
        <row r="41">
          <cell r="AE41">
            <v>0</v>
          </cell>
        </row>
        <row r="42">
          <cell r="AE42">
            <v>0</v>
          </cell>
        </row>
        <row r="43">
          <cell r="AE43">
            <v>0</v>
          </cell>
        </row>
        <row r="44">
          <cell r="AE44">
            <v>0</v>
          </cell>
        </row>
        <row r="45">
          <cell r="AE45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원본"/>
      <sheetName val="1년-3월3일"/>
      <sheetName val="원본2"/>
      <sheetName val="보조시트"/>
      <sheetName val="보조시트2"/>
      <sheetName val="보조시트3"/>
      <sheetName val="Sheet2"/>
      <sheetName val="기본양식"/>
      <sheetName val="Sheet3"/>
      <sheetName val="최종원본3"/>
      <sheetName val="가공"/>
      <sheetName val="사출금형(1230)"/>
      <sheetName val="알곤용접(210)"/>
      <sheetName val="컴퓨터응용기계(210)"/>
      <sheetName val="생산정보시스템(0227"/>
      <sheetName val="치공구(0303)"/>
      <sheetName val="생산기계(303)"/>
      <sheetName val="기계설계(316)"/>
      <sheetName val="생산기계(0320)"/>
      <sheetName val="밀링(323)"/>
      <sheetName val="cnc선반(0427"/>
      <sheetName val="밀링(0521)"/>
      <sheetName val="기계설계(0622)"/>
      <sheetName val="치공구(0724)"/>
      <sheetName val="2015년도-학사일정표(국가기간)"/>
    </sheetNames>
    <sheetDataSet>
      <sheetData sheetId="0"/>
      <sheetData sheetId="1"/>
      <sheetData sheetId="2">
        <row r="10">
          <cell r="AC10">
            <v>7</v>
          </cell>
        </row>
        <row r="11">
          <cell r="AC11">
            <v>7</v>
          </cell>
        </row>
        <row r="12">
          <cell r="AC12">
            <v>7</v>
          </cell>
        </row>
        <row r="13">
          <cell r="AC13">
            <v>7</v>
          </cell>
        </row>
        <row r="14">
          <cell r="AC14">
            <v>7</v>
          </cell>
        </row>
        <row r="16">
          <cell r="AE16" t="str">
            <v>공휴일(양력)</v>
          </cell>
        </row>
        <row r="17">
          <cell r="AE17">
            <v>1</v>
          </cell>
        </row>
        <row r="18">
          <cell r="AE18">
            <v>61</v>
          </cell>
        </row>
        <row r="19">
          <cell r="AE19">
            <v>126</v>
          </cell>
        </row>
        <row r="20">
          <cell r="AE20">
            <v>158</v>
          </cell>
        </row>
        <row r="21">
          <cell r="AE21">
            <v>228</v>
          </cell>
        </row>
        <row r="22">
          <cell r="AE22">
            <v>277</v>
          </cell>
        </row>
        <row r="23">
          <cell r="AE23">
            <v>360</v>
          </cell>
        </row>
        <row r="24">
          <cell r="AE24">
            <v>1</v>
          </cell>
        </row>
        <row r="25">
          <cell r="AE25">
            <v>61</v>
          </cell>
        </row>
        <row r="26">
          <cell r="AE26">
            <v>126</v>
          </cell>
        </row>
        <row r="27">
          <cell r="AE27">
            <v>158</v>
          </cell>
        </row>
        <row r="28">
          <cell r="AE28">
            <v>228</v>
          </cell>
        </row>
        <row r="29">
          <cell r="AE29">
            <v>277</v>
          </cell>
        </row>
        <row r="30">
          <cell r="AE30">
            <v>390</v>
          </cell>
        </row>
        <row r="31">
          <cell r="AE31">
            <v>40577</v>
          </cell>
        </row>
        <row r="32">
          <cell r="AE32">
            <v>40576</v>
          </cell>
        </row>
        <row r="33">
          <cell r="AE33">
            <v>40578</v>
          </cell>
        </row>
        <row r="34">
          <cell r="AE34">
            <v>40798</v>
          </cell>
        </row>
        <row r="35">
          <cell r="AE35">
            <v>40797</v>
          </cell>
        </row>
        <row r="36">
          <cell r="AE36">
            <v>40799</v>
          </cell>
        </row>
        <row r="37">
          <cell r="AE37">
            <v>40673</v>
          </cell>
        </row>
        <row r="38">
          <cell r="AE38">
            <v>0</v>
          </cell>
        </row>
        <row r="39">
          <cell r="AE39">
            <v>0</v>
          </cell>
        </row>
        <row r="40">
          <cell r="AE40">
            <v>0</v>
          </cell>
        </row>
        <row r="41">
          <cell r="AE41">
            <v>0</v>
          </cell>
        </row>
        <row r="42">
          <cell r="AE42">
            <v>0</v>
          </cell>
        </row>
        <row r="43">
          <cell r="AE43">
            <v>0</v>
          </cell>
        </row>
        <row r="44">
          <cell r="AE44">
            <v>0</v>
          </cell>
        </row>
        <row r="45">
          <cell r="AE45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S475"/>
  <sheetViews>
    <sheetView tabSelected="1" view="pageBreakPreview" zoomScale="70" zoomScaleNormal="50" zoomScaleSheetLayoutView="70" workbookViewId="0">
      <selection activeCell="C9" sqref="C9:D9"/>
    </sheetView>
  </sheetViews>
  <sheetFormatPr defaultRowHeight="13.5" x14ac:dyDescent="0.3"/>
  <cols>
    <col min="1" max="1" width="5.625" style="45" customWidth="1"/>
    <col min="2" max="2" width="6.625" style="45" customWidth="1"/>
    <col min="3" max="3" width="14.375" style="45" customWidth="1"/>
    <col min="4" max="4" width="4.25" style="45" customWidth="1"/>
    <col min="5" max="5" width="14.375" style="45" customWidth="1"/>
    <col min="6" max="6" width="4.25" style="45" customWidth="1"/>
    <col min="7" max="7" width="14.375" style="45" customWidth="1"/>
    <col min="8" max="8" width="4.25" style="45" customWidth="1"/>
    <col min="9" max="9" width="14.375" style="45" customWidth="1"/>
    <col min="10" max="10" width="4.25" style="45" customWidth="1"/>
    <col min="11" max="11" width="14.375" style="45" customWidth="1"/>
    <col min="12" max="12" width="4.25" style="45" customWidth="1"/>
    <col min="13" max="13" width="14.5" style="45" customWidth="1"/>
    <col min="14" max="14" width="6.375" style="45" customWidth="1"/>
    <col min="15" max="15" width="13.5" style="45" bestFit="1" customWidth="1"/>
    <col min="16" max="16" width="29.375" style="45" bestFit="1" customWidth="1"/>
    <col min="17" max="17" width="8.5" style="45" bestFit="1" customWidth="1"/>
    <col min="18" max="18" width="7.75" style="45" bestFit="1" customWidth="1"/>
    <col min="19" max="19" width="7.25" style="45" bestFit="1" customWidth="1"/>
    <col min="20" max="227" width="9" style="45"/>
    <col min="228" max="228" width="5.625" style="45" customWidth="1"/>
    <col min="229" max="229" width="6.625" style="45" customWidth="1"/>
    <col min="230" max="230" width="14.375" style="45" customWidth="1"/>
    <col min="231" max="231" width="4.25" style="45" customWidth="1"/>
    <col min="232" max="232" width="14.375" style="45" customWidth="1"/>
    <col min="233" max="233" width="4.25" style="45" customWidth="1"/>
    <col min="234" max="234" width="14.375" style="45" customWidth="1"/>
    <col min="235" max="235" width="4.25" style="45" customWidth="1"/>
    <col min="236" max="236" width="14.375" style="45" customWidth="1"/>
    <col min="237" max="237" width="4.25" style="45" customWidth="1"/>
    <col min="238" max="238" width="14.375" style="45" customWidth="1"/>
    <col min="239" max="239" width="4.25" style="45" customWidth="1"/>
    <col min="240" max="241" width="0" style="45" hidden="1" customWidth="1"/>
    <col min="242" max="483" width="9" style="45"/>
    <col min="484" max="484" width="5.625" style="45" customWidth="1"/>
    <col min="485" max="485" width="6.625" style="45" customWidth="1"/>
    <col min="486" max="486" width="14.375" style="45" customWidth="1"/>
    <col min="487" max="487" width="4.25" style="45" customWidth="1"/>
    <col min="488" max="488" width="14.375" style="45" customWidth="1"/>
    <col min="489" max="489" width="4.25" style="45" customWidth="1"/>
    <col min="490" max="490" width="14.375" style="45" customWidth="1"/>
    <col min="491" max="491" width="4.25" style="45" customWidth="1"/>
    <col min="492" max="492" width="14.375" style="45" customWidth="1"/>
    <col min="493" max="493" width="4.25" style="45" customWidth="1"/>
    <col min="494" max="494" width="14.375" style="45" customWidth="1"/>
    <col min="495" max="495" width="4.25" style="45" customWidth="1"/>
    <col min="496" max="497" width="0" style="45" hidden="1" customWidth="1"/>
    <col min="498" max="739" width="9" style="45"/>
    <col min="740" max="740" width="5.625" style="45" customWidth="1"/>
    <col min="741" max="741" width="6.625" style="45" customWidth="1"/>
    <col min="742" max="742" width="14.375" style="45" customWidth="1"/>
    <col min="743" max="743" width="4.25" style="45" customWidth="1"/>
    <col min="744" max="744" width="14.375" style="45" customWidth="1"/>
    <col min="745" max="745" width="4.25" style="45" customWidth="1"/>
    <col min="746" max="746" width="14.375" style="45" customWidth="1"/>
    <col min="747" max="747" width="4.25" style="45" customWidth="1"/>
    <col min="748" max="748" width="14.375" style="45" customWidth="1"/>
    <col min="749" max="749" width="4.25" style="45" customWidth="1"/>
    <col min="750" max="750" width="14.375" style="45" customWidth="1"/>
    <col min="751" max="751" width="4.25" style="45" customWidth="1"/>
    <col min="752" max="753" width="0" style="45" hidden="1" customWidth="1"/>
    <col min="754" max="995" width="9" style="45"/>
    <col min="996" max="996" width="5.625" style="45" customWidth="1"/>
    <col min="997" max="997" width="6.625" style="45" customWidth="1"/>
    <col min="998" max="998" width="14.375" style="45" customWidth="1"/>
    <col min="999" max="999" width="4.25" style="45" customWidth="1"/>
    <col min="1000" max="1000" width="14.375" style="45" customWidth="1"/>
    <col min="1001" max="1001" width="4.25" style="45" customWidth="1"/>
    <col min="1002" max="1002" width="14.375" style="45" customWidth="1"/>
    <col min="1003" max="1003" width="4.25" style="45" customWidth="1"/>
    <col min="1004" max="1004" width="14.375" style="45" customWidth="1"/>
    <col min="1005" max="1005" width="4.25" style="45" customWidth="1"/>
    <col min="1006" max="1006" width="14.375" style="45" customWidth="1"/>
    <col min="1007" max="1007" width="4.25" style="45" customWidth="1"/>
    <col min="1008" max="1009" width="0" style="45" hidden="1" customWidth="1"/>
    <col min="1010" max="1251" width="9" style="45"/>
    <col min="1252" max="1252" width="5.625" style="45" customWidth="1"/>
    <col min="1253" max="1253" width="6.625" style="45" customWidth="1"/>
    <col min="1254" max="1254" width="14.375" style="45" customWidth="1"/>
    <col min="1255" max="1255" width="4.25" style="45" customWidth="1"/>
    <col min="1256" max="1256" width="14.375" style="45" customWidth="1"/>
    <col min="1257" max="1257" width="4.25" style="45" customWidth="1"/>
    <col min="1258" max="1258" width="14.375" style="45" customWidth="1"/>
    <col min="1259" max="1259" width="4.25" style="45" customWidth="1"/>
    <col min="1260" max="1260" width="14.375" style="45" customWidth="1"/>
    <col min="1261" max="1261" width="4.25" style="45" customWidth="1"/>
    <col min="1262" max="1262" width="14.375" style="45" customWidth="1"/>
    <col min="1263" max="1263" width="4.25" style="45" customWidth="1"/>
    <col min="1264" max="1265" width="0" style="45" hidden="1" customWidth="1"/>
    <col min="1266" max="1507" width="9" style="45"/>
    <col min="1508" max="1508" width="5.625" style="45" customWidth="1"/>
    <col min="1509" max="1509" width="6.625" style="45" customWidth="1"/>
    <col min="1510" max="1510" width="14.375" style="45" customWidth="1"/>
    <col min="1511" max="1511" width="4.25" style="45" customWidth="1"/>
    <col min="1512" max="1512" width="14.375" style="45" customWidth="1"/>
    <col min="1513" max="1513" width="4.25" style="45" customWidth="1"/>
    <col min="1514" max="1514" width="14.375" style="45" customWidth="1"/>
    <col min="1515" max="1515" width="4.25" style="45" customWidth="1"/>
    <col min="1516" max="1516" width="14.375" style="45" customWidth="1"/>
    <col min="1517" max="1517" width="4.25" style="45" customWidth="1"/>
    <col min="1518" max="1518" width="14.375" style="45" customWidth="1"/>
    <col min="1519" max="1519" width="4.25" style="45" customWidth="1"/>
    <col min="1520" max="1521" width="0" style="45" hidden="1" customWidth="1"/>
    <col min="1522" max="1763" width="9" style="45"/>
    <col min="1764" max="1764" width="5.625" style="45" customWidth="1"/>
    <col min="1765" max="1765" width="6.625" style="45" customWidth="1"/>
    <col min="1766" max="1766" width="14.375" style="45" customWidth="1"/>
    <col min="1767" max="1767" width="4.25" style="45" customWidth="1"/>
    <col min="1768" max="1768" width="14.375" style="45" customWidth="1"/>
    <col min="1769" max="1769" width="4.25" style="45" customWidth="1"/>
    <col min="1770" max="1770" width="14.375" style="45" customWidth="1"/>
    <col min="1771" max="1771" width="4.25" style="45" customWidth="1"/>
    <col min="1772" max="1772" width="14.375" style="45" customWidth="1"/>
    <col min="1773" max="1773" width="4.25" style="45" customWidth="1"/>
    <col min="1774" max="1774" width="14.375" style="45" customWidth="1"/>
    <col min="1775" max="1775" width="4.25" style="45" customWidth="1"/>
    <col min="1776" max="1777" width="0" style="45" hidden="1" customWidth="1"/>
    <col min="1778" max="2019" width="9" style="45"/>
    <col min="2020" max="2020" width="5.625" style="45" customWidth="1"/>
    <col min="2021" max="2021" width="6.625" style="45" customWidth="1"/>
    <col min="2022" max="2022" width="14.375" style="45" customWidth="1"/>
    <col min="2023" max="2023" width="4.25" style="45" customWidth="1"/>
    <col min="2024" max="2024" width="14.375" style="45" customWidth="1"/>
    <col min="2025" max="2025" width="4.25" style="45" customWidth="1"/>
    <col min="2026" max="2026" width="14.375" style="45" customWidth="1"/>
    <col min="2027" max="2027" width="4.25" style="45" customWidth="1"/>
    <col min="2028" max="2028" width="14.375" style="45" customWidth="1"/>
    <col min="2029" max="2029" width="4.25" style="45" customWidth="1"/>
    <col min="2030" max="2030" width="14.375" style="45" customWidth="1"/>
    <col min="2031" max="2031" width="4.25" style="45" customWidth="1"/>
    <col min="2032" max="2033" width="0" style="45" hidden="1" customWidth="1"/>
    <col min="2034" max="2275" width="9" style="45"/>
    <col min="2276" max="2276" width="5.625" style="45" customWidth="1"/>
    <col min="2277" max="2277" width="6.625" style="45" customWidth="1"/>
    <col min="2278" max="2278" width="14.375" style="45" customWidth="1"/>
    <col min="2279" max="2279" width="4.25" style="45" customWidth="1"/>
    <col min="2280" max="2280" width="14.375" style="45" customWidth="1"/>
    <col min="2281" max="2281" width="4.25" style="45" customWidth="1"/>
    <col min="2282" max="2282" width="14.375" style="45" customWidth="1"/>
    <col min="2283" max="2283" width="4.25" style="45" customWidth="1"/>
    <col min="2284" max="2284" width="14.375" style="45" customWidth="1"/>
    <col min="2285" max="2285" width="4.25" style="45" customWidth="1"/>
    <col min="2286" max="2286" width="14.375" style="45" customWidth="1"/>
    <col min="2287" max="2287" width="4.25" style="45" customWidth="1"/>
    <col min="2288" max="2289" width="0" style="45" hidden="1" customWidth="1"/>
    <col min="2290" max="2531" width="9" style="45"/>
    <col min="2532" max="2532" width="5.625" style="45" customWidth="1"/>
    <col min="2533" max="2533" width="6.625" style="45" customWidth="1"/>
    <col min="2534" max="2534" width="14.375" style="45" customWidth="1"/>
    <col min="2535" max="2535" width="4.25" style="45" customWidth="1"/>
    <col min="2536" max="2536" width="14.375" style="45" customWidth="1"/>
    <col min="2537" max="2537" width="4.25" style="45" customWidth="1"/>
    <col min="2538" max="2538" width="14.375" style="45" customWidth="1"/>
    <col min="2539" max="2539" width="4.25" style="45" customWidth="1"/>
    <col min="2540" max="2540" width="14.375" style="45" customWidth="1"/>
    <col min="2541" max="2541" width="4.25" style="45" customWidth="1"/>
    <col min="2542" max="2542" width="14.375" style="45" customWidth="1"/>
    <col min="2543" max="2543" width="4.25" style="45" customWidth="1"/>
    <col min="2544" max="2545" width="0" style="45" hidden="1" customWidth="1"/>
    <col min="2546" max="2787" width="9" style="45"/>
    <col min="2788" max="2788" width="5.625" style="45" customWidth="1"/>
    <col min="2789" max="2789" width="6.625" style="45" customWidth="1"/>
    <col min="2790" max="2790" width="14.375" style="45" customWidth="1"/>
    <col min="2791" max="2791" width="4.25" style="45" customWidth="1"/>
    <col min="2792" max="2792" width="14.375" style="45" customWidth="1"/>
    <col min="2793" max="2793" width="4.25" style="45" customWidth="1"/>
    <col min="2794" max="2794" width="14.375" style="45" customWidth="1"/>
    <col min="2795" max="2795" width="4.25" style="45" customWidth="1"/>
    <col min="2796" max="2796" width="14.375" style="45" customWidth="1"/>
    <col min="2797" max="2797" width="4.25" style="45" customWidth="1"/>
    <col min="2798" max="2798" width="14.375" style="45" customWidth="1"/>
    <col min="2799" max="2799" width="4.25" style="45" customWidth="1"/>
    <col min="2800" max="2801" width="0" style="45" hidden="1" customWidth="1"/>
    <col min="2802" max="3043" width="9" style="45"/>
    <col min="3044" max="3044" width="5.625" style="45" customWidth="1"/>
    <col min="3045" max="3045" width="6.625" style="45" customWidth="1"/>
    <col min="3046" max="3046" width="14.375" style="45" customWidth="1"/>
    <col min="3047" max="3047" width="4.25" style="45" customWidth="1"/>
    <col min="3048" max="3048" width="14.375" style="45" customWidth="1"/>
    <col min="3049" max="3049" width="4.25" style="45" customWidth="1"/>
    <col min="3050" max="3050" width="14.375" style="45" customWidth="1"/>
    <col min="3051" max="3051" width="4.25" style="45" customWidth="1"/>
    <col min="3052" max="3052" width="14.375" style="45" customWidth="1"/>
    <col min="3053" max="3053" width="4.25" style="45" customWidth="1"/>
    <col min="3054" max="3054" width="14.375" style="45" customWidth="1"/>
    <col min="3055" max="3055" width="4.25" style="45" customWidth="1"/>
    <col min="3056" max="3057" width="0" style="45" hidden="1" customWidth="1"/>
    <col min="3058" max="3299" width="9" style="45"/>
    <col min="3300" max="3300" width="5.625" style="45" customWidth="1"/>
    <col min="3301" max="3301" width="6.625" style="45" customWidth="1"/>
    <col min="3302" max="3302" width="14.375" style="45" customWidth="1"/>
    <col min="3303" max="3303" width="4.25" style="45" customWidth="1"/>
    <col min="3304" max="3304" width="14.375" style="45" customWidth="1"/>
    <col min="3305" max="3305" width="4.25" style="45" customWidth="1"/>
    <col min="3306" max="3306" width="14.375" style="45" customWidth="1"/>
    <col min="3307" max="3307" width="4.25" style="45" customWidth="1"/>
    <col min="3308" max="3308" width="14.375" style="45" customWidth="1"/>
    <col min="3309" max="3309" width="4.25" style="45" customWidth="1"/>
    <col min="3310" max="3310" width="14.375" style="45" customWidth="1"/>
    <col min="3311" max="3311" width="4.25" style="45" customWidth="1"/>
    <col min="3312" max="3313" width="0" style="45" hidden="1" customWidth="1"/>
    <col min="3314" max="3555" width="9" style="45"/>
    <col min="3556" max="3556" width="5.625" style="45" customWidth="1"/>
    <col min="3557" max="3557" width="6.625" style="45" customWidth="1"/>
    <col min="3558" max="3558" width="14.375" style="45" customWidth="1"/>
    <col min="3559" max="3559" width="4.25" style="45" customWidth="1"/>
    <col min="3560" max="3560" width="14.375" style="45" customWidth="1"/>
    <col min="3561" max="3561" width="4.25" style="45" customWidth="1"/>
    <col min="3562" max="3562" width="14.375" style="45" customWidth="1"/>
    <col min="3563" max="3563" width="4.25" style="45" customWidth="1"/>
    <col min="3564" max="3564" width="14.375" style="45" customWidth="1"/>
    <col min="3565" max="3565" width="4.25" style="45" customWidth="1"/>
    <col min="3566" max="3566" width="14.375" style="45" customWidth="1"/>
    <col min="3567" max="3567" width="4.25" style="45" customWidth="1"/>
    <col min="3568" max="3569" width="0" style="45" hidden="1" customWidth="1"/>
    <col min="3570" max="3811" width="9" style="45"/>
    <col min="3812" max="3812" width="5.625" style="45" customWidth="1"/>
    <col min="3813" max="3813" width="6.625" style="45" customWidth="1"/>
    <col min="3814" max="3814" width="14.375" style="45" customWidth="1"/>
    <col min="3815" max="3815" width="4.25" style="45" customWidth="1"/>
    <col min="3816" max="3816" width="14.375" style="45" customWidth="1"/>
    <col min="3817" max="3817" width="4.25" style="45" customWidth="1"/>
    <col min="3818" max="3818" width="14.375" style="45" customWidth="1"/>
    <col min="3819" max="3819" width="4.25" style="45" customWidth="1"/>
    <col min="3820" max="3820" width="14.375" style="45" customWidth="1"/>
    <col min="3821" max="3821" width="4.25" style="45" customWidth="1"/>
    <col min="3822" max="3822" width="14.375" style="45" customWidth="1"/>
    <col min="3823" max="3823" width="4.25" style="45" customWidth="1"/>
    <col min="3824" max="3825" width="0" style="45" hidden="1" customWidth="1"/>
    <col min="3826" max="4067" width="9" style="45"/>
    <col min="4068" max="4068" width="5.625" style="45" customWidth="1"/>
    <col min="4069" max="4069" width="6.625" style="45" customWidth="1"/>
    <col min="4070" max="4070" width="14.375" style="45" customWidth="1"/>
    <col min="4071" max="4071" width="4.25" style="45" customWidth="1"/>
    <col min="4072" max="4072" width="14.375" style="45" customWidth="1"/>
    <col min="4073" max="4073" width="4.25" style="45" customWidth="1"/>
    <col min="4074" max="4074" width="14.375" style="45" customWidth="1"/>
    <col min="4075" max="4075" width="4.25" style="45" customWidth="1"/>
    <col min="4076" max="4076" width="14.375" style="45" customWidth="1"/>
    <col min="4077" max="4077" width="4.25" style="45" customWidth="1"/>
    <col min="4078" max="4078" width="14.375" style="45" customWidth="1"/>
    <col min="4079" max="4079" width="4.25" style="45" customWidth="1"/>
    <col min="4080" max="4081" width="0" style="45" hidden="1" customWidth="1"/>
    <col min="4082" max="4323" width="9" style="45"/>
    <col min="4324" max="4324" width="5.625" style="45" customWidth="1"/>
    <col min="4325" max="4325" width="6.625" style="45" customWidth="1"/>
    <col min="4326" max="4326" width="14.375" style="45" customWidth="1"/>
    <col min="4327" max="4327" width="4.25" style="45" customWidth="1"/>
    <col min="4328" max="4328" width="14.375" style="45" customWidth="1"/>
    <col min="4329" max="4329" width="4.25" style="45" customWidth="1"/>
    <col min="4330" max="4330" width="14.375" style="45" customWidth="1"/>
    <col min="4331" max="4331" width="4.25" style="45" customWidth="1"/>
    <col min="4332" max="4332" width="14.375" style="45" customWidth="1"/>
    <col min="4333" max="4333" width="4.25" style="45" customWidth="1"/>
    <col min="4334" max="4334" width="14.375" style="45" customWidth="1"/>
    <col min="4335" max="4335" width="4.25" style="45" customWidth="1"/>
    <col min="4336" max="4337" width="0" style="45" hidden="1" customWidth="1"/>
    <col min="4338" max="4579" width="9" style="45"/>
    <col min="4580" max="4580" width="5.625" style="45" customWidth="1"/>
    <col min="4581" max="4581" width="6.625" style="45" customWidth="1"/>
    <col min="4582" max="4582" width="14.375" style="45" customWidth="1"/>
    <col min="4583" max="4583" width="4.25" style="45" customWidth="1"/>
    <col min="4584" max="4584" width="14.375" style="45" customWidth="1"/>
    <col min="4585" max="4585" width="4.25" style="45" customWidth="1"/>
    <col min="4586" max="4586" width="14.375" style="45" customWidth="1"/>
    <col min="4587" max="4587" width="4.25" style="45" customWidth="1"/>
    <col min="4588" max="4588" width="14.375" style="45" customWidth="1"/>
    <col min="4589" max="4589" width="4.25" style="45" customWidth="1"/>
    <col min="4590" max="4590" width="14.375" style="45" customWidth="1"/>
    <col min="4591" max="4591" width="4.25" style="45" customWidth="1"/>
    <col min="4592" max="4593" width="0" style="45" hidden="1" customWidth="1"/>
    <col min="4594" max="4835" width="9" style="45"/>
    <col min="4836" max="4836" width="5.625" style="45" customWidth="1"/>
    <col min="4837" max="4837" width="6.625" style="45" customWidth="1"/>
    <col min="4838" max="4838" width="14.375" style="45" customWidth="1"/>
    <col min="4839" max="4839" width="4.25" style="45" customWidth="1"/>
    <col min="4840" max="4840" width="14.375" style="45" customWidth="1"/>
    <col min="4841" max="4841" width="4.25" style="45" customWidth="1"/>
    <col min="4842" max="4842" width="14.375" style="45" customWidth="1"/>
    <col min="4843" max="4843" width="4.25" style="45" customWidth="1"/>
    <col min="4844" max="4844" width="14.375" style="45" customWidth="1"/>
    <col min="4845" max="4845" width="4.25" style="45" customWidth="1"/>
    <col min="4846" max="4846" width="14.375" style="45" customWidth="1"/>
    <col min="4847" max="4847" width="4.25" style="45" customWidth="1"/>
    <col min="4848" max="4849" width="0" style="45" hidden="1" customWidth="1"/>
    <col min="4850" max="5091" width="9" style="45"/>
    <col min="5092" max="5092" width="5.625" style="45" customWidth="1"/>
    <col min="5093" max="5093" width="6.625" style="45" customWidth="1"/>
    <col min="5094" max="5094" width="14.375" style="45" customWidth="1"/>
    <col min="5095" max="5095" width="4.25" style="45" customWidth="1"/>
    <col min="5096" max="5096" width="14.375" style="45" customWidth="1"/>
    <col min="5097" max="5097" width="4.25" style="45" customWidth="1"/>
    <col min="5098" max="5098" width="14.375" style="45" customWidth="1"/>
    <col min="5099" max="5099" width="4.25" style="45" customWidth="1"/>
    <col min="5100" max="5100" width="14.375" style="45" customWidth="1"/>
    <col min="5101" max="5101" width="4.25" style="45" customWidth="1"/>
    <col min="5102" max="5102" width="14.375" style="45" customWidth="1"/>
    <col min="5103" max="5103" width="4.25" style="45" customWidth="1"/>
    <col min="5104" max="5105" width="0" style="45" hidden="1" customWidth="1"/>
    <col min="5106" max="5347" width="9" style="45"/>
    <col min="5348" max="5348" width="5.625" style="45" customWidth="1"/>
    <col min="5349" max="5349" width="6.625" style="45" customWidth="1"/>
    <col min="5350" max="5350" width="14.375" style="45" customWidth="1"/>
    <col min="5351" max="5351" width="4.25" style="45" customWidth="1"/>
    <col min="5352" max="5352" width="14.375" style="45" customWidth="1"/>
    <col min="5353" max="5353" width="4.25" style="45" customWidth="1"/>
    <col min="5354" max="5354" width="14.375" style="45" customWidth="1"/>
    <col min="5355" max="5355" width="4.25" style="45" customWidth="1"/>
    <col min="5356" max="5356" width="14.375" style="45" customWidth="1"/>
    <col min="5357" max="5357" width="4.25" style="45" customWidth="1"/>
    <col min="5358" max="5358" width="14.375" style="45" customWidth="1"/>
    <col min="5359" max="5359" width="4.25" style="45" customWidth="1"/>
    <col min="5360" max="5361" width="0" style="45" hidden="1" customWidth="1"/>
    <col min="5362" max="5603" width="9" style="45"/>
    <col min="5604" max="5604" width="5.625" style="45" customWidth="1"/>
    <col min="5605" max="5605" width="6.625" style="45" customWidth="1"/>
    <col min="5606" max="5606" width="14.375" style="45" customWidth="1"/>
    <col min="5607" max="5607" width="4.25" style="45" customWidth="1"/>
    <col min="5608" max="5608" width="14.375" style="45" customWidth="1"/>
    <col min="5609" max="5609" width="4.25" style="45" customWidth="1"/>
    <col min="5610" max="5610" width="14.375" style="45" customWidth="1"/>
    <col min="5611" max="5611" width="4.25" style="45" customWidth="1"/>
    <col min="5612" max="5612" width="14.375" style="45" customWidth="1"/>
    <col min="5613" max="5613" width="4.25" style="45" customWidth="1"/>
    <col min="5614" max="5614" width="14.375" style="45" customWidth="1"/>
    <col min="5615" max="5615" width="4.25" style="45" customWidth="1"/>
    <col min="5616" max="5617" width="0" style="45" hidden="1" customWidth="1"/>
    <col min="5618" max="5859" width="9" style="45"/>
    <col min="5860" max="5860" width="5.625" style="45" customWidth="1"/>
    <col min="5861" max="5861" width="6.625" style="45" customWidth="1"/>
    <col min="5862" max="5862" width="14.375" style="45" customWidth="1"/>
    <col min="5863" max="5863" width="4.25" style="45" customWidth="1"/>
    <col min="5864" max="5864" width="14.375" style="45" customWidth="1"/>
    <col min="5865" max="5865" width="4.25" style="45" customWidth="1"/>
    <col min="5866" max="5866" width="14.375" style="45" customWidth="1"/>
    <col min="5867" max="5867" width="4.25" style="45" customWidth="1"/>
    <col min="5868" max="5868" width="14.375" style="45" customWidth="1"/>
    <col min="5869" max="5869" width="4.25" style="45" customWidth="1"/>
    <col min="5870" max="5870" width="14.375" style="45" customWidth="1"/>
    <col min="5871" max="5871" width="4.25" style="45" customWidth="1"/>
    <col min="5872" max="5873" width="0" style="45" hidden="1" customWidth="1"/>
    <col min="5874" max="6115" width="9" style="45"/>
    <col min="6116" max="6116" width="5.625" style="45" customWidth="1"/>
    <col min="6117" max="6117" width="6.625" style="45" customWidth="1"/>
    <col min="6118" max="6118" width="14.375" style="45" customWidth="1"/>
    <col min="6119" max="6119" width="4.25" style="45" customWidth="1"/>
    <col min="6120" max="6120" width="14.375" style="45" customWidth="1"/>
    <col min="6121" max="6121" width="4.25" style="45" customWidth="1"/>
    <col min="6122" max="6122" width="14.375" style="45" customWidth="1"/>
    <col min="6123" max="6123" width="4.25" style="45" customWidth="1"/>
    <col min="6124" max="6124" width="14.375" style="45" customWidth="1"/>
    <col min="6125" max="6125" width="4.25" style="45" customWidth="1"/>
    <col min="6126" max="6126" width="14.375" style="45" customWidth="1"/>
    <col min="6127" max="6127" width="4.25" style="45" customWidth="1"/>
    <col min="6128" max="6129" width="0" style="45" hidden="1" customWidth="1"/>
    <col min="6130" max="6371" width="9" style="45"/>
    <col min="6372" max="6372" width="5.625" style="45" customWidth="1"/>
    <col min="6373" max="6373" width="6.625" style="45" customWidth="1"/>
    <col min="6374" max="6374" width="14.375" style="45" customWidth="1"/>
    <col min="6375" max="6375" width="4.25" style="45" customWidth="1"/>
    <col min="6376" max="6376" width="14.375" style="45" customWidth="1"/>
    <col min="6377" max="6377" width="4.25" style="45" customWidth="1"/>
    <col min="6378" max="6378" width="14.375" style="45" customWidth="1"/>
    <col min="6379" max="6379" width="4.25" style="45" customWidth="1"/>
    <col min="6380" max="6380" width="14.375" style="45" customWidth="1"/>
    <col min="6381" max="6381" width="4.25" style="45" customWidth="1"/>
    <col min="6382" max="6382" width="14.375" style="45" customWidth="1"/>
    <col min="6383" max="6383" width="4.25" style="45" customWidth="1"/>
    <col min="6384" max="6385" width="0" style="45" hidden="1" customWidth="1"/>
    <col min="6386" max="6627" width="9" style="45"/>
    <col min="6628" max="6628" width="5.625" style="45" customWidth="1"/>
    <col min="6629" max="6629" width="6.625" style="45" customWidth="1"/>
    <col min="6630" max="6630" width="14.375" style="45" customWidth="1"/>
    <col min="6631" max="6631" width="4.25" style="45" customWidth="1"/>
    <col min="6632" max="6632" width="14.375" style="45" customWidth="1"/>
    <col min="6633" max="6633" width="4.25" style="45" customWidth="1"/>
    <col min="6634" max="6634" width="14.375" style="45" customWidth="1"/>
    <col min="6635" max="6635" width="4.25" style="45" customWidth="1"/>
    <col min="6636" max="6636" width="14.375" style="45" customWidth="1"/>
    <col min="6637" max="6637" width="4.25" style="45" customWidth="1"/>
    <col min="6638" max="6638" width="14.375" style="45" customWidth="1"/>
    <col min="6639" max="6639" width="4.25" style="45" customWidth="1"/>
    <col min="6640" max="6641" width="0" style="45" hidden="1" customWidth="1"/>
    <col min="6642" max="6883" width="9" style="45"/>
    <col min="6884" max="6884" width="5.625" style="45" customWidth="1"/>
    <col min="6885" max="6885" width="6.625" style="45" customWidth="1"/>
    <col min="6886" max="6886" width="14.375" style="45" customWidth="1"/>
    <col min="6887" max="6887" width="4.25" style="45" customWidth="1"/>
    <col min="6888" max="6888" width="14.375" style="45" customWidth="1"/>
    <col min="6889" max="6889" width="4.25" style="45" customWidth="1"/>
    <col min="6890" max="6890" width="14.375" style="45" customWidth="1"/>
    <col min="6891" max="6891" width="4.25" style="45" customWidth="1"/>
    <col min="6892" max="6892" width="14.375" style="45" customWidth="1"/>
    <col min="6893" max="6893" width="4.25" style="45" customWidth="1"/>
    <col min="6894" max="6894" width="14.375" style="45" customWidth="1"/>
    <col min="6895" max="6895" width="4.25" style="45" customWidth="1"/>
    <col min="6896" max="6897" width="0" style="45" hidden="1" customWidth="1"/>
    <col min="6898" max="7139" width="9" style="45"/>
    <col min="7140" max="7140" width="5.625" style="45" customWidth="1"/>
    <col min="7141" max="7141" width="6.625" style="45" customWidth="1"/>
    <col min="7142" max="7142" width="14.375" style="45" customWidth="1"/>
    <col min="7143" max="7143" width="4.25" style="45" customWidth="1"/>
    <col min="7144" max="7144" width="14.375" style="45" customWidth="1"/>
    <col min="7145" max="7145" width="4.25" style="45" customWidth="1"/>
    <col min="7146" max="7146" width="14.375" style="45" customWidth="1"/>
    <col min="7147" max="7147" width="4.25" style="45" customWidth="1"/>
    <col min="7148" max="7148" width="14.375" style="45" customWidth="1"/>
    <col min="7149" max="7149" width="4.25" style="45" customWidth="1"/>
    <col min="7150" max="7150" width="14.375" style="45" customWidth="1"/>
    <col min="7151" max="7151" width="4.25" style="45" customWidth="1"/>
    <col min="7152" max="7153" width="0" style="45" hidden="1" customWidth="1"/>
    <col min="7154" max="7395" width="9" style="45"/>
    <col min="7396" max="7396" width="5.625" style="45" customWidth="1"/>
    <col min="7397" max="7397" width="6.625" style="45" customWidth="1"/>
    <col min="7398" max="7398" width="14.375" style="45" customWidth="1"/>
    <col min="7399" max="7399" width="4.25" style="45" customWidth="1"/>
    <col min="7400" max="7400" width="14.375" style="45" customWidth="1"/>
    <col min="7401" max="7401" width="4.25" style="45" customWidth="1"/>
    <col min="7402" max="7402" width="14.375" style="45" customWidth="1"/>
    <col min="7403" max="7403" width="4.25" style="45" customWidth="1"/>
    <col min="7404" max="7404" width="14.375" style="45" customWidth="1"/>
    <col min="7405" max="7405" width="4.25" style="45" customWidth="1"/>
    <col min="7406" max="7406" width="14.375" style="45" customWidth="1"/>
    <col min="7407" max="7407" width="4.25" style="45" customWidth="1"/>
    <col min="7408" max="7409" width="0" style="45" hidden="1" customWidth="1"/>
    <col min="7410" max="7651" width="9" style="45"/>
    <col min="7652" max="7652" width="5.625" style="45" customWidth="1"/>
    <col min="7653" max="7653" width="6.625" style="45" customWidth="1"/>
    <col min="7654" max="7654" width="14.375" style="45" customWidth="1"/>
    <col min="7655" max="7655" width="4.25" style="45" customWidth="1"/>
    <col min="7656" max="7656" width="14.375" style="45" customWidth="1"/>
    <col min="7657" max="7657" width="4.25" style="45" customWidth="1"/>
    <col min="7658" max="7658" width="14.375" style="45" customWidth="1"/>
    <col min="7659" max="7659" width="4.25" style="45" customWidth="1"/>
    <col min="7660" max="7660" width="14.375" style="45" customWidth="1"/>
    <col min="7661" max="7661" width="4.25" style="45" customWidth="1"/>
    <col min="7662" max="7662" width="14.375" style="45" customWidth="1"/>
    <col min="7663" max="7663" width="4.25" style="45" customWidth="1"/>
    <col min="7664" max="7665" width="0" style="45" hidden="1" customWidth="1"/>
    <col min="7666" max="7907" width="9" style="45"/>
    <col min="7908" max="7908" width="5.625" style="45" customWidth="1"/>
    <col min="7909" max="7909" width="6.625" style="45" customWidth="1"/>
    <col min="7910" max="7910" width="14.375" style="45" customWidth="1"/>
    <col min="7911" max="7911" width="4.25" style="45" customWidth="1"/>
    <col min="7912" max="7912" width="14.375" style="45" customWidth="1"/>
    <col min="7913" max="7913" width="4.25" style="45" customWidth="1"/>
    <col min="7914" max="7914" width="14.375" style="45" customWidth="1"/>
    <col min="7915" max="7915" width="4.25" style="45" customWidth="1"/>
    <col min="7916" max="7916" width="14.375" style="45" customWidth="1"/>
    <col min="7917" max="7917" width="4.25" style="45" customWidth="1"/>
    <col min="7918" max="7918" width="14.375" style="45" customWidth="1"/>
    <col min="7919" max="7919" width="4.25" style="45" customWidth="1"/>
    <col min="7920" max="7921" width="0" style="45" hidden="1" customWidth="1"/>
    <col min="7922" max="8163" width="9" style="45"/>
    <col min="8164" max="8164" width="5.625" style="45" customWidth="1"/>
    <col min="8165" max="8165" width="6.625" style="45" customWidth="1"/>
    <col min="8166" max="8166" width="14.375" style="45" customWidth="1"/>
    <col min="8167" max="8167" width="4.25" style="45" customWidth="1"/>
    <col min="8168" max="8168" width="14.375" style="45" customWidth="1"/>
    <col min="8169" max="8169" width="4.25" style="45" customWidth="1"/>
    <col min="8170" max="8170" width="14.375" style="45" customWidth="1"/>
    <col min="8171" max="8171" width="4.25" style="45" customWidth="1"/>
    <col min="8172" max="8172" width="14.375" style="45" customWidth="1"/>
    <col min="8173" max="8173" width="4.25" style="45" customWidth="1"/>
    <col min="8174" max="8174" width="14.375" style="45" customWidth="1"/>
    <col min="8175" max="8175" width="4.25" style="45" customWidth="1"/>
    <col min="8176" max="8177" width="0" style="45" hidden="1" customWidth="1"/>
    <col min="8178" max="8419" width="9" style="45"/>
    <col min="8420" max="8420" width="5.625" style="45" customWidth="1"/>
    <col min="8421" max="8421" width="6.625" style="45" customWidth="1"/>
    <col min="8422" max="8422" width="14.375" style="45" customWidth="1"/>
    <col min="8423" max="8423" width="4.25" style="45" customWidth="1"/>
    <col min="8424" max="8424" width="14.375" style="45" customWidth="1"/>
    <col min="8425" max="8425" width="4.25" style="45" customWidth="1"/>
    <col min="8426" max="8426" width="14.375" style="45" customWidth="1"/>
    <col min="8427" max="8427" width="4.25" style="45" customWidth="1"/>
    <col min="8428" max="8428" width="14.375" style="45" customWidth="1"/>
    <col min="8429" max="8429" width="4.25" style="45" customWidth="1"/>
    <col min="8430" max="8430" width="14.375" style="45" customWidth="1"/>
    <col min="8431" max="8431" width="4.25" style="45" customWidth="1"/>
    <col min="8432" max="8433" width="0" style="45" hidden="1" customWidth="1"/>
    <col min="8434" max="8675" width="9" style="45"/>
    <col min="8676" max="8676" width="5.625" style="45" customWidth="1"/>
    <col min="8677" max="8677" width="6.625" style="45" customWidth="1"/>
    <col min="8678" max="8678" width="14.375" style="45" customWidth="1"/>
    <col min="8679" max="8679" width="4.25" style="45" customWidth="1"/>
    <col min="8680" max="8680" width="14.375" style="45" customWidth="1"/>
    <col min="8681" max="8681" width="4.25" style="45" customWidth="1"/>
    <col min="8682" max="8682" width="14.375" style="45" customWidth="1"/>
    <col min="8683" max="8683" width="4.25" style="45" customWidth="1"/>
    <col min="8684" max="8684" width="14.375" style="45" customWidth="1"/>
    <col min="8685" max="8685" width="4.25" style="45" customWidth="1"/>
    <col min="8686" max="8686" width="14.375" style="45" customWidth="1"/>
    <col min="8687" max="8687" width="4.25" style="45" customWidth="1"/>
    <col min="8688" max="8689" width="0" style="45" hidden="1" customWidth="1"/>
    <col min="8690" max="8931" width="9" style="45"/>
    <col min="8932" max="8932" width="5.625" style="45" customWidth="1"/>
    <col min="8933" max="8933" width="6.625" style="45" customWidth="1"/>
    <col min="8934" max="8934" width="14.375" style="45" customWidth="1"/>
    <col min="8935" max="8935" width="4.25" style="45" customWidth="1"/>
    <col min="8936" max="8936" width="14.375" style="45" customWidth="1"/>
    <col min="8937" max="8937" width="4.25" style="45" customWidth="1"/>
    <col min="8938" max="8938" width="14.375" style="45" customWidth="1"/>
    <col min="8939" max="8939" width="4.25" style="45" customWidth="1"/>
    <col min="8940" max="8940" width="14.375" style="45" customWidth="1"/>
    <col min="8941" max="8941" width="4.25" style="45" customWidth="1"/>
    <col min="8942" max="8942" width="14.375" style="45" customWidth="1"/>
    <col min="8943" max="8943" width="4.25" style="45" customWidth="1"/>
    <col min="8944" max="8945" width="0" style="45" hidden="1" customWidth="1"/>
    <col min="8946" max="9187" width="9" style="45"/>
    <col min="9188" max="9188" width="5.625" style="45" customWidth="1"/>
    <col min="9189" max="9189" width="6.625" style="45" customWidth="1"/>
    <col min="9190" max="9190" width="14.375" style="45" customWidth="1"/>
    <col min="9191" max="9191" width="4.25" style="45" customWidth="1"/>
    <col min="9192" max="9192" width="14.375" style="45" customWidth="1"/>
    <col min="9193" max="9193" width="4.25" style="45" customWidth="1"/>
    <col min="9194" max="9194" width="14.375" style="45" customWidth="1"/>
    <col min="9195" max="9195" width="4.25" style="45" customWidth="1"/>
    <col min="9196" max="9196" width="14.375" style="45" customWidth="1"/>
    <col min="9197" max="9197" width="4.25" style="45" customWidth="1"/>
    <col min="9198" max="9198" width="14.375" style="45" customWidth="1"/>
    <col min="9199" max="9199" width="4.25" style="45" customWidth="1"/>
    <col min="9200" max="9201" width="0" style="45" hidden="1" customWidth="1"/>
    <col min="9202" max="9443" width="9" style="45"/>
    <col min="9444" max="9444" width="5.625" style="45" customWidth="1"/>
    <col min="9445" max="9445" width="6.625" style="45" customWidth="1"/>
    <col min="9446" max="9446" width="14.375" style="45" customWidth="1"/>
    <col min="9447" max="9447" width="4.25" style="45" customWidth="1"/>
    <col min="9448" max="9448" width="14.375" style="45" customWidth="1"/>
    <col min="9449" max="9449" width="4.25" style="45" customWidth="1"/>
    <col min="9450" max="9450" width="14.375" style="45" customWidth="1"/>
    <col min="9451" max="9451" width="4.25" style="45" customWidth="1"/>
    <col min="9452" max="9452" width="14.375" style="45" customWidth="1"/>
    <col min="9453" max="9453" width="4.25" style="45" customWidth="1"/>
    <col min="9454" max="9454" width="14.375" style="45" customWidth="1"/>
    <col min="9455" max="9455" width="4.25" style="45" customWidth="1"/>
    <col min="9456" max="9457" width="0" style="45" hidden="1" customWidth="1"/>
    <col min="9458" max="9699" width="9" style="45"/>
    <col min="9700" max="9700" width="5.625" style="45" customWidth="1"/>
    <col min="9701" max="9701" width="6.625" style="45" customWidth="1"/>
    <col min="9702" max="9702" width="14.375" style="45" customWidth="1"/>
    <col min="9703" max="9703" width="4.25" style="45" customWidth="1"/>
    <col min="9704" max="9704" width="14.375" style="45" customWidth="1"/>
    <col min="9705" max="9705" width="4.25" style="45" customWidth="1"/>
    <col min="9706" max="9706" width="14.375" style="45" customWidth="1"/>
    <col min="9707" max="9707" width="4.25" style="45" customWidth="1"/>
    <col min="9708" max="9708" width="14.375" style="45" customWidth="1"/>
    <col min="9709" max="9709" width="4.25" style="45" customWidth="1"/>
    <col min="9710" max="9710" width="14.375" style="45" customWidth="1"/>
    <col min="9711" max="9711" width="4.25" style="45" customWidth="1"/>
    <col min="9712" max="9713" width="0" style="45" hidden="1" customWidth="1"/>
    <col min="9714" max="9955" width="9" style="45"/>
    <col min="9956" max="9956" width="5.625" style="45" customWidth="1"/>
    <col min="9957" max="9957" width="6.625" style="45" customWidth="1"/>
    <col min="9958" max="9958" width="14.375" style="45" customWidth="1"/>
    <col min="9959" max="9959" width="4.25" style="45" customWidth="1"/>
    <col min="9960" max="9960" width="14.375" style="45" customWidth="1"/>
    <col min="9961" max="9961" width="4.25" style="45" customWidth="1"/>
    <col min="9962" max="9962" width="14.375" style="45" customWidth="1"/>
    <col min="9963" max="9963" width="4.25" style="45" customWidth="1"/>
    <col min="9964" max="9964" width="14.375" style="45" customWidth="1"/>
    <col min="9965" max="9965" width="4.25" style="45" customWidth="1"/>
    <col min="9966" max="9966" width="14.375" style="45" customWidth="1"/>
    <col min="9967" max="9967" width="4.25" style="45" customWidth="1"/>
    <col min="9968" max="9969" width="0" style="45" hidden="1" customWidth="1"/>
    <col min="9970" max="10211" width="9" style="45"/>
    <col min="10212" max="10212" width="5.625" style="45" customWidth="1"/>
    <col min="10213" max="10213" width="6.625" style="45" customWidth="1"/>
    <col min="10214" max="10214" width="14.375" style="45" customWidth="1"/>
    <col min="10215" max="10215" width="4.25" style="45" customWidth="1"/>
    <col min="10216" max="10216" width="14.375" style="45" customWidth="1"/>
    <col min="10217" max="10217" width="4.25" style="45" customWidth="1"/>
    <col min="10218" max="10218" width="14.375" style="45" customWidth="1"/>
    <col min="10219" max="10219" width="4.25" style="45" customWidth="1"/>
    <col min="10220" max="10220" width="14.375" style="45" customWidth="1"/>
    <col min="10221" max="10221" width="4.25" style="45" customWidth="1"/>
    <col min="10222" max="10222" width="14.375" style="45" customWidth="1"/>
    <col min="10223" max="10223" width="4.25" style="45" customWidth="1"/>
    <col min="10224" max="10225" width="0" style="45" hidden="1" customWidth="1"/>
    <col min="10226" max="10467" width="9" style="45"/>
    <col min="10468" max="10468" width="5.625" style="45" customWidth="1"/>
    <col min="10469" max="10469" width="6.625" style="45" customWidth="1"/>
    <col min="10470" max="10470" width="14.375" style="45" customWidth="1"/>
    <col min="10471" max="10471" width="4.25" style="45" customWidth="1"/>
    <col min="10472" max="10472" width="14.375" style="45" customWidth="1"/>
    <col min="10473" max="10473" width="4.25" style="45" customWidth="1"/>
    <col min="10474" max="10474" width="14.375" style="45" customWidth="1"/>
    <col min="10475" max="10475" width="4.25" style="45" customWidth="1"/>
    <col min="10476" max="10476" width="14.375" style="45" customWidth="1"/>
    <col min="10477" max="10477" width="4.25" style="45" customWidth="1"/>
    <col min="10478" max="10478" width="14.375" style="45" customWidth="1"/>
    <col min="10479" max="10479" width="4.25" style="45" customWidth="1"/>
    <col min="10480" max="10481" width="0" style="45" hidden="1" customWidth="1"/>
    <col min="10482" max="10723" width="9" style="45"/>
    <col min="10724" max="10724" width="5.625" style="45" customWidth="1"/>
    <col min="10725" max="10725" width="6.625" style="45" customWidth="1"/>
    <col min="10726" max="10726" width="14.375" style="45" customWidth="1"/>
    <col min="10727" max="10727" width="4.25" style="45" customWidth="1"/>
    <col min="10728" max="10728" width="14.375" style="45" customWidth="1"/>
    <col min="10729" max="10729" width="4.25" style="45" customWidth="1"/>
    <col min="10730" max="10730" width="14.375" style="45" customWidth="1"/>
    <col min="10731" max="10731" width="4.25" style="45" customWidth="1"/>
    <col min="10732" max="10732" width="14.375" style="45" customWidth="1"/>
    <col min="10733" max="10733" width="4.25" style="45" customWidth="1"/>
    <col min="10734" max="10734" width="14.375" style="45" customWidth="1"/>
    <col min="10735" max="10735" width="4.25" style="45" customWidth="1"/>
    <col min="10736" max="10737" width="0" style="45" hidden="1" customWidth="1"/>
    <col min="10738" max="10979" width="9" style="45"/>
    <col min="10980" max="10980" width="5.625" style="45" customWidth="1"/>
    <col min="10981" max="10981" width="6.625" style="45" customWidth="1"/>
    <col min="10982" max="10982" width="14.375" style="45" customWidth="1"/>
    <col min="10983" max="10983" width="4.25" style="45" customWidth="1"/>
    <col min="10984" max="10984" width="14.375" style="45" customWidth="1"/>
    <col min="10985" max="10985" width="4.25" style="45" customWidth="1"/>
    <col min="10986" max="10986" width="14.375" style="45" customWidth="1"/>
    <col min="10987" max="10987" width="4.25" style="45" customWidth="1"/>
    <col min="10988" max="10988" width="14.375" style="45" customWidth="1"/>
    <col min="10989" max="10989" width="4.25" style="45" customWidth="1"/>
    <col min="10990" max="10990" width="14.375" style="45" customWidth="1"/>
    <col min="10991" max="10991" width="4.25" style="45" customWidth="1"/>
    <col min="10992" max="10993" width="0" style="45" hidden="1" customWidth="1"/>
    <col min="10994" max="11235" width="9" style="45"/>
    <col min="11236" max="11236" width="5.625" style="45" customWidth="1"/>
    <col min="11237" max="11237" width="6.625" style="45" customWidth="1"/>
    <col min="11238" max="11238" width="14.375" style="45" customWidth="1"/>
    <col min="11239" max="11239" width="4.25" style="45" customWidth="1"/>
    <col min="11240" max="11240" width="14.375" style="45" customWidth="1"/>
    <col min="11241" max="11241" width="4.25" style="45" customWidth="1"/>
    <col min="11242" max="11242" width="14.375" style="45" customWidth="1"/>
    <col min="11243" max="11243" width="4.25" style="45" customWidth="1"/>
    <col min="11244" max="11244" width="14.375" style="45" customWidth="1"/>
    <col min="11245" max="11245" width="4.25" style="45" customWidth="1"/>
    <col min="11246" max="11246" width="14.375" style="45" customWidth="1"/>
    <col min="11247" max="11247" width="4.25" style="45" customWidth="1"/>
    <col min="11248" max="11249" width="0" style="45" hidden="1" customWidth="1"/>
    <col min="11250" max="11491" width="9" style="45"/>
    <col min="11492" max="11492" width="5.625" style="45" customWidth="1"/>
    <col min="11493" max="11493" width="6.625" style="45" customWidth="1"/>
    <col min="11494" max="11494" width="14.375" style="45" customWidth="1"/>
    <col min="11495" max="11495" width="4.25" style="45" customWidth="1"/>
    <col min="11496" max="11496" width="14.375" style="45" customWidth="1"/>
    <col min="11497" max="11497" width="4.25" style="45" customWidth="1"/>
    <col min="11498" max="11498" width="14.375" style="45" customWidth="1"/>
    <col min="11499" max="11499" width="4.25" style="45" customWidth="1"/>
    <col min="11500" max="11500" width="14.375" style="45" customWidth="1"/>
    <col min="11501" max="11501" width="4.25" style="45" customWidth="1"/>
    <col min="11502" max="11502" width="14.375" style="45" customWidth="1"/>
    <col min="11503" max="11503" width="4.25" style="45" customWidth="1"/>
    <col min="11504" max="11505" width="0" style="45" hidden="1" customWidth="1"/>
    <col min="11506" max="11747" width="9" style="45"/>
    <col min="11748" max="11748" width="5.625" style="45" customWidth="1"/>
    <col min="11749" max="11749" width="6.625" style="45" customWidth="1"/>
    <col min="11750" max="11750" width="14.375" style="45" customWidth="1"/>
    <col min="11751" max="11751" width="4.25" style="45" customWidth="1"/>
    <col min="11752" max="11752" width="14.375" style="45" customWidth="1"/>
    <col min="11753" max="11753" width="4.25" style="45" customWidth="1"/>
    <col min="11754" max="11754" width="14.375" style="45" customWidth="1"/>
    <col min="11755" max="11755" width="4.25" style="45" customWidth="1"/>
    <col min="11756" max="11756" width="14.375" style="45" customWidth="1"/>
    <col min="11757" max="11757" width="4.25" style="45" customWidth="1"/>
    <col min="11758" max="11758" width="14.375" style="45" customWidth="1"/>
    <col min="11759" max="11759" width="4.25" style="45" customWidth="1"/>
    <col min="11760" max="11761" width="0" style="45" hidden="1" customWidth="1"/>
    <col min="11762" max="12003" width="9" style="45"/>
    <col min="12004" max="12004" width="5.625" style="45" customWidth="1"/>
    <col min="12005" max="12005" width="6.625" style="45" customWidth="1"/>
    <col min="12006" max="12006" width="14.375" style="45" customWidth="1"/>
    <col min="12007" max="12007" width="4.25" style="45" customWidth="1"/>
    <col min="12008" max="12008" width="14.375" style="45" customWidth="1"/>
    <col min="12009" max="12009" width="4.25" style="45" customWidth="1"/>
    <col min="12010" max="12010" width="14.375" style="45" customWidth="1"/>
    <col min="12011" max="12011" width="4.25" style="45" customWidth="1"/>
    <col min="12012" max="12012" width="14.375" style="45" customWidth="1"/>
    <col min="12013" max="12013" width="4.25" style="45" customWidth="1"/>
    <col min="12014" max="12014" width="14.375" style="45" customWidth="1"/>
    <col min="12015" max="12015" width="4.25" style="45" customWidth="1"/>
    <col min="12016" max="12017" width="0" style="45" hidden="1" customWidth="1"/>
    <col min="12018" max="12259" width="9" style="45"/>
    <col min="12260" max="12260" width="5.625" style="45" customWidth="1"/>
    <col min="12261" max="12261" width="6.625" style="45" customWidth="1"/>
    <col min="12262" max="12262" width="14.375" style="45" customWidth="1"/>
    <col min="12263" max="12263" width="4.25" style="45" customWidth="1"/>
    <col min="12264" max="12264" width="14.375" style="45" customWidth="1"/>
    <col min="12265" max="12265" width="4.25" style="45" customWidth="1"/>
    <col min="12266" max="12266" width="14.375" style="45" customWidth="1"/>
    <col min="12267" max="12267" width="4.25" style="45" customWidth="1"/>
    <col min="12268" max="12268" width="14.375" style="45" customWidth="1"/>
    <col min="12269" max="12269" width="4.25" style="45" customWidth="1"/>
    <col min="12270" max="12270" width="14.375" style="45" customWidth="1"/>
    <col min="12271" max="12271" width="4.25" style="45" customWidth="1"/>
    <col min="12272" max="12273" width="0" style="45" hidden="1" customWidth="1"/>
    <col min="12274" max="12515" width="9" style="45"/>
    <col min="12516" max="12516" width="5.625" style="45" customWidth="1"/>
    <col min="12517" max="12517" width="6.625" style="45" customWidth="1"/>
    <col min="12518" max="12518" width="14.375" style="45" customWidth="1"/>
    <col min="12519" max="12519" width="4.25" style="45" customWidth="1"/>
    <col min="12520" max="12520" width="14.375" style="45" customWidth="1"/>
    <col min="12521" max="12521" width="4.25" style="45" customWidth="1"/>
    <col min="12522" max="12522" width="14.375" style="45" customWidth="1"/>
    <col min="12523" max="12523" width="4.25" style="45" customWidth="1"/>
    <col min="12524" max="12524" width="14.375" style="45" customWidth="1"/>
    <col min="12525" max="12525" width="4.25" style="45" customWidth="1"/>
    <col min="12526" max="12526" width="14.375" style="45" customWidth="1"/>
    <col min="12527" max="12527" width="4.25" style="45" customWidth="1"/>
    <col min="12528" max="12529" width="0" style="45" hidden="1" customWidth="1"/>
    <col min="12530" max="12771" width="9" style="45"/>
    <col min="12772" max="12772" width="5.625" style="45" customWidth="1"/>
    <col min="12773" max="12773" width="6.625" style="45" customWidth="1"/>
    <col min="12774" max="12774" width="14.375" style="45" customWidth="1"/>
    <col min="12775" max="12775" width="4.25" style="45" customWidth="1"/>
    <col min="12776" max="12776" width="14.375" style="45" customWidth="1"/>
    <col min="12777" max="12777" width="4.25" style="45" customWidth="1"/>
    <col min="12778" max="12778" width="14.375" style="45" customWidth="1"/>
    <col min="12779" max="12779" width="4.25" style="45" customWidth="1"/>
    <col min="12780" max="12780" width="14.375" style="45" customWidth="1"/>
    <col min="12781" max="12781" width="4.25" style="45" customWidth="1"/>
    <col min="12782" max="12782" width="14.375" style="45" customWidth="1"/>
    <col min="12783" max="12783" width="4.25" style="45" customWidth="1"/>
    <col min="12784" max="12785" width="0" style="45" hidden="1" customWidth="1"/>
    <col min="12786" max="13027" width="9" style="45"/>
    <col min="13028" max="13028" width="5.625" style="45" customWidth="1"/>
    <col min="13029" max="13029" width="6.625" style="45" customWidth="1"/>
    <col min="13030" max="13030" width="14.375" style="45" customWidth="1"/>
    <col min="13031" max="13031" width="4.25" style="45" customWidth="1"/>
    <col min="13032" max="13032" width="14.375" style="45" customWidth="1"/>
    <col min="13033" max="13033" width="4.25" style="45" customWidth="1"/>
    <col min="13034" max="13034" width="14.375" style="45" customWidth="1"/>
    <col min="13035" max="13035" width="4.25" style="45" customWidth="1"/>
    <col min="13036" max="13036" width="14.375" style="45" customWidth="1"/>
    <col min="13037" max="13037" width="4.25" style="45" customWidth="1"/>
    <col min="13038" max="13038" width="14.375" style="45" customWidth="1"/>
    <col min="13039" max="13039" width="4.25" style="45" customWidth="1"/>
    <col min="13040" max="13041" width="0" style="45" hidden="1" customWidth="1"/>
    <col min="13042" max="13283" width="9" style="45"/>
    <col min="13284" max="13284" width="5.625" style="45" customWidth="1"/>
    <col min="13285" max="13285" width="6.625" style="45" customWidth="1"/>
    <col min="13286" max="13286" width="14.375" style="45" customWidth="1"/>
    <col min="13287" max="13287" width="4.25" style="45" customWidth="1"/>
    <col min="13288" max="13288" width="14.375" style="45" customWidth="1"/>
    <col min="13289" max="13289" width="4.25" style="45" customWidth="1"/>
    <col min="13290" max="13290" width="14.375" style="45" customWidth="1"/>
    <col min="13291" max="13291" width="4.25" style="45" customWidth="1"/>
    <col min="13292" max="13292" width="14.375" style="45" customWidth="1"/>
    <col min="13293" max="13293" width="4.25" style="45" customWidth="1"/>
    <col min="13294" max="13294" width="14.375" style="45" customWidth="1"/>
    <col min="13295" max="13295" width="4.25" style="45" customWidth="1"/>
    <col min="13296" max="13297" width="0" style="45" hidden="1" customWidth="1"/>
    <col min="13298" max="13539" width="9" style="45"/>
    <col min="13540" max="13540" width="5.625" style="45" customWidth="1"/>
    <col min="13541" max="13541" width="6.625" style="45" customWidth="1"/>
    <col min="13542" max="13542" width="14.375" style="45" customWidth="1"/>
    <col min="13543" max="13543" width="4.25" style="45" customWidth="1"/>
    <col min="13544" max="13544" width="14.375" style="45" customWidth="1"/>
    <col min="13545" max="13545" width="4.25" style="45" customWidth="1"/>
    <col min="13546" max="13546" width="14.375" style="45" customWidth="1"/>
    <col min="13547" max="13547" width="4.25" style="45" customWidth="1"/>
    <col min="13548" max="13548" width="14.375" style="45" customWidth="1"/>
    <col min="13549" max="13549" width="4.25" style="45" customWidth="1"/>
    <col min="13550" max="13550" width="14.375" style="45" customWidth="1"/>
    <col min="13551" max="13551" width="4.25" style="45" customWidth="1"/>
    <col min="13552" max="13553" width="0" style="45" hidden="1" customWidth="1"/>
    <col min="13554" max="13795" width="9" style="45"/>
    <col min="13796" max="13796" width="5.625" style="45" customWidth="1"/>
    <col min="13797" max="13797" width="6.625" style="45" customWidth="1"/>
    <col min="13798" max="13798" width="14.375" style="45" customWidth="1"/>
    <col min="13799" max="13799" width="4.25" style="45" customWidth="1"/>
    <col min="13800" max="13800" width="14.375" style="45" customWidth="1"/>
    <col min="13801" max="13801" width="4.25" style="45" customWidth="1"/>
    <col min="13802" max="13802" width="14.375" style="45" customWidth="1"/>
    <col min="13803" max="13803" width="4.25" style="45" customWidth="1"/>
    <col min="13804" max="13804" width="14.375" style="45" customWidth="1"/>
    <col min="13805" max="13805" width="4.25" style="45" customWidth="1"/>
    <col min="13806" max="13806" width="14.375" style="45" customWidth="1"/>
    <col min="13807" max="13807" width="4.25" style="45" customWidth="1"/>
    <col min="13808" max="13809" width="0" style="45" hidden="1" customWidth="1"/>
    <col min="13810" max="14051" width="9" style="45"/>
    <col min="14052" max="14052" width="5.625" style="45" customWidth="1"/>
    <col min="14053" max="14053" width="6.625" style="45" customWidth="1"/>
    <col min="14054" max="14054" width="14.375" style="45" customWidth="1"/>
    <col min="14055" max="14055" width="4.25" style="45" customWidth="1"/>
    <col min="14056" max="14056" width="14.375" style="45" customWidth="1"/>
    <col min="14057" max="14057" width="4.25" style="45" customWidth="1"/>
    <col min="14058" max="14058" width="14.375" style="45" customWidth="1"/>
    <col min="14059" max="14059" width="4.25" style="45" customWidth="1"/>
    <col min="14060" max="14060" width="14.375" style="45" customWidth="1"/>
    <col min="14061" max="14061" width="4.25" style="45" customWidth="1"/>
    <col min="14062" max="14062" width="14.375" style="45" customWidth="1"/>
    <col min="14063" max="14063" width="4.25" style="45" customWidth="1"/>
    <col min="14064" max="14065" width="0" style="45" hidden="1" customWidth="1"/>
    <col min="14066" max="14307" width="9" style="45"/>
    <col min="14308" max="14308" width="5.625" style="45" customWidth="1"/>
    <col min="14309" max="14309" width="6.625" style="45" customWidth="1"/>
    <col min="14310" max="14310" width="14.375" style="45" customWidth="1"/>
    <col min="14311" max="14311" width="4.25" style="45" customWidth="1"/>
    <col min="14312" max="14312" width="14.375" style="45" customWidth="1"/>
    <col min="14313" max="14313" width="4.25" style="45" customWidth="1"/>
    <col min="14314" max="14314" width="14.375" style="45" customWidth="1"/>
    <col min="14315" max="14315" width="4.25" style="45" customWidth="1"/>
    <col min="14316" max="14316" width="14.375" style="45" customWidth="1"/>
    <col min="14317" max="14317" width="4.25" style="45" customWidth="1"/>
    <col min="14318" max="14318" width="14.375" style="45" customWidth="1"/>
    <col min="14319" max="14319" width="4.25" style="45" customWidth="1"/>
    <col min="14320" max="14321" width="0" style="45" hidden="1" customWidth="1"/>
    <col min="14322" max="14563" width="9" style="45"/>
    <col min="14564" max="14564" width="5.625" style="45" customWidth="1"/>
    <col min="14565" max="14565" width="6.625" style="45" customWidth="1"/>
    <col min="14566" max="14566" width="14.375" style="45" customWidth="1"/>
    <col min="14567" max="14567" width="4.25" style="45" customWidth="1"/>
    <col min="14568" max="14568" width="14.375" style="45" customWidth="1"/>
    <col min="14569" max="14569" width="4.25" style="45" customWidth="1"/>
    <col min="14570" max="14570" width="14.375" style="45" customWidth="1"/>
    <col min="14571" max="14571" width="4.25" style="45" customWidth="1"/>
    <col min="14572" max="14572" width="14.375" style="45" customWidth="1"/>
    <col min="14573" max="14573" width="4.25" style="45" customWidth="1"/>
    <col min="14574" max="14574" width="14.375" style="45" customWidth="1"/>
    <col min="14575" max="14575" width="4.25" style="45" customWidth="1"/>
    <col min="14576" max="14577" width="0" style="45" hidden="1" customWidth="1"/>
    <col min="14578" max="14819" width="9" style="45"/>
    <col min="14820" max="14820" width="5.625" style="45" customWidth="1"/>
    <col min="14821" max="14821" width="6.625" style="45" customWidth="1"/>
    <col min="14822" max="14822" width="14.375" style="45" customWidth="1"/>
    <col min="14823" max="14823" width="4.25" style="45" customWidth="1"/>
    <col min="14824" max="14824" width="14.375" style="45" customWidth="1"/>
    <col min="14825" max="14825" width="4.25" style="45" customWidth="1"/>
    <col min="14826" max="14826" width="14.375" style="45" customWidth="1"/>
    <col min="14827" max="14827" width="4.25" style="45" customWidth="1"/>
    <col min="14828" max="14828" width="14.375" style="45" customWidth="1"/>
    <col min="14829" max="14829" width="4.25" style="45" customWidth="1"/>
    <col min="14830" max="14830" width="14.375" style="45" customWidth="1"/>
    <col min="14831" max="14831" width="4.25" style="45" customWidth="1"/>
    <col min="14832" max="14833" width="0" style="45" hidden="1" customWidth="1"/>
    <col min="14834" max="15075" width="9" style="45"/>
    <col min="15076" max="15076" width="5.625" style="45" customWidth="1"/>
    <col min="15077" max="15077" width="6.625" style="45" customWidth="1"/>
    <col min="15078" max="15078" width="14.375" style="45" customWidth="1"/>
    <col min="15079" max="15079" width="4.25" style="45" customWidth="1"/>
    <col min="15080" max="15080" width="14.375" style="45" customWidth="1"/>
    <col min="15081" max="15081" width="4.25" style="45" customWidth="1"/>
    <col min="15082" max="15082" width="14.375" style="45" customWidth="1"/>
    <col min="15083" max="15083" width="4.25" style="45" customWidth="1"/>
    <col min="15084" max="15084" width="14.375" style="45" customWidth="1"/>
    <col min="15085" max="15085" width="4.25" style="45" customWidth="1"/>
    <col min="15086" max="15086" width="14.375" style="45" customWidth="1"/>
    <col min="15087" max="15087" width="4.25" style="45" customWidth="1"/>
    <col min="15088" max="15089" width="0" style="45" hidden="1" customWidth="1"/>
    <col min="15090" max="15331" width="9" style="45"/>
    <col min="15332" max="15332" width="5.625" style="45" customWidth="1"/>
    <col min="15333" max="15333" width="6.625" style="45" customWidth="1"/>
    <col min="15334" max="15334" width="14.375" style="45" customWidth="1"/>
    <col min="15335" max="15335" width="4.25" style="45" customWidth="1"/>
    <col min="15336" max="15336" width="14.375" style="45" customWidth="1"/>
    <col min="15337" max="15337" width="4.25" style="45" customWidth="1"/>
    <col min="15338" max="15338" width="14.375" style="45" customWidth="1"/>
    <col min="15339" max="15339" width="4.25" style="45" customWidth="1"/>
    <col min="15340" max="15340" width="14.375" style="45" customWidth="1"/>
    <col min="15341" max="15341" width="4.25" style="45" customWidth="1"/>
    <col min="15342" max="15342" width="14.375" style="45" customWidth="1"/>
    <col min="15343" max="15343" width="4.25" style="45" customWidth="1"/>
    <col min="15344" max="15345" width="0" style="45" hidden="1" customWidth="1"/>
    <col min="15346" max="15587" width="9" style="45"/>
    <col min="15588" max="15588" width="5.625" style="45" customWidth="1"/>
    <col min="15589" max="15589" width="6.625" style="45" customWidth="1"/>
    <col min="15590" max="15590" width="14.375" style="45" customWidth="1"/>
    <col min="15591" max="15591" width="4.25" style="45" customWidth="1"/>
    <col min="15592" max="15592" width="14.375" style="45" customWidth="1"/>
    <col min="15593" max="15593" width="4.25" style="45" customWidth="1"/>
    <col min="15594" max="15594" width="14.375" style="45" customWidth="1"/>
    <col min="15595" max="15595" width="4.25" style="45" customWidth="1"/>
    <col min="15596" max="15596" width="14.375" style="45" customWidth="1"/>
    <col min="15597" max="15597" width="4.25" style="45" customWidth="1"/>
    <col min="15598" max="15598" width="14.375" style="45" customWidth="1"/>
    <col min="15599" max="15599" width="4.25" style="45" customWidth="1"/>
    <col min="15600" max="15601" width="0" style="45" hidden="1" customWidth="1"/>
    <col min="15602" max="15843" width="9" style="45"/>
    <col min="15844" max="15844" width="5.625" style="45" customWidth="1"/>
    <col min="15845" max="15845" width="6.625" style="45" customWidth="1"/>
    <col min="15846" max="15846" width="14.375" style="45" customWidth="1"/>
    <col min="15847" max="15847" width="4.25" style="45" customWidth="1"/>
    <col min="15848" max="15848" width="14.375" style="45" customWidth="1"/>
    <col min="15849" max="15849" width="4.25" style="45" customWidth="1"/>
    <col min="15850" max="15850" width="14.375" style="45" customWidth="1"/>
    <col min="15851" max="15851" width="4.25" style="45" customWidth="1"/>
    <col min="15852" max="15852" width="14.375" style="45" customWidth="1"/>
    <col min="15853" max="15853" width="4.25" style="45" customWidth="1"/>
    <col min="15854" max="15854" width="14.375" style="45" customWidth="1"/>
    <col min="15855" max="15855" width="4.25" style="45" customWidth="1"/>
    <col min="15856" max="15857" width="0" style="45" hidden="1" customWidth="1"/>
    <col min="15858" max="16099" width="9" style="45"/>
    <col min="16100" max="16100" width="5.625" style="45" customWidth="1"/>
    <col min="16101" max="16101" width="6.625" style="45" customWidth="1"/>
    <col min="16102" max="16102" width="14.375" style="45" customWidth="1"/>
    <col min="16103" max="16103" width="4.25" style="45" customWidth="1"/>
    <col min="16104" max="16104" width="14.375" style="45" customWidth="1"/>
    <col min="16105" max="16105" width="4.25" style="45" customWidth="1"/>
    <col min="16106" max="16106" width="14.375" style="45" customWidth="1"/>
    <col min="16107" max="16107" width="4.25" style="45" customWidth="1"/>
    <col min="16108" max="16108" width="14.375" style="45" customWidth="1"/>
    <col min="16109" max="16109" width="4.25" style="45" customWidth="1"/>
    <col min="16110" max="16110" width="14.375" style="45" customWidth="1"/>
    <col min="16111" max="16111" width="4.25" style="45" customWidth="1"/>
    <col min="16112" max="16113" width="0" style="45" hidden="1" customWidth="1"/>
    <col min="16114" max="16384" width="9" style="45"/>
  </cols>
  <sheetData>
    <row r="1" spans="1:19" ht="22.5" customHeight="1" x14ac:dyDescent="0.3">
      <c r="A1" s="159" t="s">
        <v>39</v>
      </c>
      <c r="B1" s="159"/>
      <c r="C1" s="159"/>
      <c r="D1" s="159"/>
      <c r="E1" s="159"/>
      <c r="F1" s="159"/>
      <c r="G1" s="159"/>
      <c r="I1" s="160" t="s">
        <v>7</v>
      </c>
      <c r="J1" s="162" t="str">
        <f>A3</f>
        <v>(멀티미디어) 멀티미디어 콘텐츠 제작 (프리미어, 애프터 이펙트, 3ds Max) &amp; AI 기반 스마트앱 구현</v>
      </c>
      <c r="K1" s="163"/>
      <c r="L1" s="164"/>
    </row>
    <row r="2" spans="1:19" ht="22.5" customHeight="1" x14ac:dyDescent="0.3">
      <c r="A2" s="159"/>
      <c r="B2" s="159"/>
      <c r="C2" s="159"/>
      <c r="D2" s="159"/>
      <c r="E2" s="159"/>
      <c r="F2" s="159"/>
      <c r="G2" s="159"/>
      <c r="I2" s="161"/>
      <c r="J2" s="165"/>
      <c r="K2" s="166"/>
      <c r="L2" s="167"/>
    </row>
    <row r="3" spans="1:19" ht="17.25" customHeight="1" x14ac:dyDescent="0.3">
      <c r="A3" s="168" t="s">
        <v>88</v>
      </c>
      <c r="B3" s="169"/>
      <c r="C3" s="169"/>
      <c r="D3" s="169"/>
      <c r="E3" s="169"/>
      <c r="F3" s="169"/>
      <c r="G3" s="169"/>
      <c r="I3" s="60" t="s">
        <v>8</v>
      </c>
      <c r="J3" s="170" t="s">
        <v>85</v>
      </c>
      <c r="K3" s="171"/>
      <c r="L3" s="172"/>
    </row>
    <row r="4" spans="1:19" ht="17.25" customHeight="1" x14ac:dyDescent="0.3">
      <c r="A4" s="169"/>
      <c r="B4" s="169"/>
      <c r="C4" s="169"/>
      <c r="D4" s="169"/>
      <c r="E4" s="169"/>
      <c r="F4" s="169"/>
      <c r="G4" s="169"/>
      <c r="I4" s="60" t="s">
        <v>9</v>
      </c>
      <c r="J4" s="173" t="s">
        <v>86</v>
      </c>
      <c r="K4" s="174"/>
      <c r="L4" s="175"/>
    </row>
    <row r="5" spans="1:19" ht="17.25" customHeight="1" x14ac:dyDescent="0.3">
      <c r="A5" s="169"/>
      <c r="B5" s="169"/>
      <c r="C5" s="169"/>
      <c r="D5" s="169"/>
      <c r="E5" s="169"/>
      <c r="F5" s="169"/>
      <c r="G5" s="169"/>
      <c r="I5" s="60" t="s">
        <v>10</v>
      </c>
      <c r="J5" s="176" t="s">
        <v>115</v>
      </c>
      <c r="K5" s="177"/>
      <c r="L5" s="178"/>
    </row>
    <row r="6" spans="1:19" ht="17.25" customHeight="1" thickBot="1" x14ac:dyDescent="0.35">
      <c r="A6" s="169"/>
      <c r="B6" s="169"/>
      <c r="C6" s="169"/>
      <c r="D6" s="169"/>
      <c r="E6" s="169"/>
      <c r="F6" s="169"/>
      <c r="G6" s="169"/>
      <c r="I6" s="61" t="s">
        <v>11</v>
      </c>
      <c r="J6" s="179" t="s">
        <v>89</v>
      </c>
      <c r="K6" s="180"/>
      <c r="L6" s="181"/>
    </row>
    <row r="7" spans="1:19" ht="5.25" customHeight="1" x14ac:dyDescent="0.3">
      <c r="A7" s="156"/>
      <c r="B7" s="157"/>
      <c r="C7" s="157"/>
      <c r="K7" s="158"/>
      <c r="L7" s="158"/>
    </row>
    <row r="8" spans="1:19" ht="27" customHeight="1" x14ac:dyDescent="0.3">
      <c r="A8" s="126" t="s">
        <v>12</v>
      </c>
      <c r="B8" s="126" t="s">
        <v>13</v>
      </c>
      <c r="C8" s="124" t="s">
        <v>14</v>
      </c>
      <c r="D8" s="124"/>
      <c r="E8" s="124" t="s">
        <v>15</v>
      </c>
      <c r="F8" s="124"/>
      <c r="G8" s="124" t="s">
        <v>16</v>
      </c>
      <c r="H8" s="124"/>
      <c r="I8" s="136" t="s">
        <v>17</v>
      </c>
      <c r="J8" s="137"/>
      <c r="K8" s="136" t="s">
        <v>18</v>
      </c>
      <c r="L8" s="137"/>
      <c r="O8" s="5" t="s">
        <v>0</v>
      </c>
      <c r="P8" s="5" t="s">
        <v>19</v>
      </c>
      <c r="Q8" s="5" t="s">
        <v>20</v>
      </c>
      <c r="R8" s="6" t="s">
        <v>21</v>
      </c>
      <c r="S8" s="6" t="s">
        <v>22</v>
      </c>
    </row>
    <row r="9" spans="1:19" ht="27" customHeight="1" thickBot="1" x14ac:dyDescent="0.35">
      <c r="A9" s="127"/>
      <c r="B9" s="127"/>
      <c r="C9" s="125">
        <v>45915</v>
      </c>
      <c r="D9" s="125"/>
      <c r="E9" s="125">
        <f>C9+1</f>
        <v>45916</v>
      </c>
      <c r="F9" s="125"/>
      <c r="G9" s="125">
        <f>E9+1</f>
        <v>45917</v>
      </c>
      <c r="H9" s="125"/>
      <c r="I9" s="138">
        <f>G9+1</f>
        <v>45918</v>
      </c>
      <c r="J9" s="139"/>
      <c r="K9" s="138">
        <f>I9+1</f>
        <v>45919</v>
      </c>
      <c r="L9" s="139"/>
      <c r="O9" s="8" t="s">
        <v>54</v>
      </c>
      <c r="P9" s="8" t="s">
        <v>55</v>
      </c>
      <c r="Q9" s="9">
        <v>40</v>
      </c>
      <c r="R9" s="47">
        <f>COUNTIF($C$10:$N$421,P9)</f>
        <v>28</v>
      </c>
      <c r="S9" s="46">
        <f t="shared" ref="S9" si="0">R9-Q9</f>
        <v>-12</v>
      </c>
    </row>
    <row r="10" spans="1:19" ht="25.5" customHeight="1" thickTop="1" x14ac:dyDescent="0.3">
      <c r="A10" s="109">
        <v>1</v>
      </c>
      <c r="B10" s="119" t="s">
        <v>23</v>
      </c>
      <c r="C10" s="69"/>
      <c r="D10" s="131"/>
      <c r="E10" s="62"/>
      <c r="F10" s="146"/>
      <c r="G10" s="62"/>
      <c r="H10" s="146"/>
      <c r="I10" s="22"/>
      <c r="J10" s="153"/>
      <c r="K10" s="22"/>
      <c r="L10" s="153"/>
      <c r="O10" s="10" t="s">
        <v>54</v>
      </c>
      <c r="P10" s="10" t="s">
        <v>56</v>
      </c>
      <c r="Q10" s="11">
        <v>40</v>
      </c>
      <c r="R10" s="47">
        <f t="shared" ref="R10:R23" si="1">COUNTIF($C$10:$N$421,P10)</f>
        <v>40</v>
      </c>
      <c r="S10" s="46">
        <f t="shared" ref="S10:S29" si="2">R10-Q10</f>
        <v>0</v>
      </c>
    </row>
    <row r="11" spans="1:19" ht="80.099999999999994" customHeight="1" x14ac:dyDescent="0.3">
      <c r="A11" s="110"/>
      <c r="B11" s="120"/>
      <c r="C11" s="69"/>
      <c r="D11" s="132"/>
      <c r="E11" s="62"/>
      <c r="F11" s="146"/>
      <c r="G11" s="62"/>
      <c r="H11" s="146"/>
      <c r="I11" s="102"/>
      <c r="J11" s="153"/>
      <c r="K11" s="102"/>
      <c r="L11" s="153"/>
      <c r="O11" s="43" t="s">
        <v>58</v>
      </c>
      <c r="P11" s="43" t="s">
        <v>59</v>
      </c>
      <c r="Q11" s="12">
        <v>60</v>
      </c>
      <c r="R11" s="47">
        <f t="shared" si="1"/>
        <v>60</v>
      </c>
      <c r="S11" s="46">
        <f t="shared" si="2"/>
        <v>0</v>
      </c>
    </row>
    <row r="12" spans="1:19" ht="25.5" customHeight="1" x14ac:dyDescent="0.3">
      <c r="A12" s="115">
        <v>2</v>
      </c>
      <c r="B12" s="118" t="s">
        <v>24</v>
      </c>
      <c r="C12" s="99"/>
      <c r="D12" s="146"/>
      <c r="E12" s="62"/>
      <c r="F12" s="146"/>
      <c r="G12" s="44"/>
      <c r="H12" s="155"/>
      <c r="I12" s="22"/>
      <c r="J12" s="153"/>
      <c r="K12" s="22"/>
      <c r="L12" s="153"/>
      <c r="O12" s="22" t="s">
        <v>57</v>
      </c>
      <c r="P12" s="22" t="s">
        <v>60</v>
      </c>
      <c r="Q12" s="23">
        <v>60</v>
      </c>
      <c r="R12" s="47">
        <f t="shared" si="1"/>
        <v>52</v>
      </c>
      <c r="S12" s="46">
        <f t="shared" si="2"/>
        <v>-8</v>
      </c>
    </row>
    <row r="13" spans="1:19" ht="80.099999999999994" customHeight="1" x14ac:dyDescent="0.3">
      <c r="A13" s="115"/>
      <c r="B13" s="118"/>
      <c r="C13" s="99"/>
      <c r="D13" s="146"/>
      <c r="E13" s="62"/>
      <c r="F13" s="146"/>
      <c r="G13" s="44"/>
      <c r="H13" s="155"/>
      <c r="I13" s="102"/>
      <c r="J13" s="153"/>
      <c r="K13" s="102"/>
      <c r="L13" s="153"/>
      <c r="O13" s="13" t="s">
        <v>58</v>
      </c>
      <c r="P13" s="13" t="s">
        <v>61</v>
      </c>
      <c r="Q13" s="14">
        <v>60</v>
      </c>
      <c r="R13" s="47">
        <f t="shared" si="1"/>
        <v>60</v>
      </c>
      <c r="S13" s="46">
        <f t="shared" si="2"/>
        <v>0</v>
      </c>
    </row>
    <row r="14" spans="1:19" ht="25.5" customHeight="1" x14ac:dyDescent="0.3">
      <c r="A14" s="115">
        <v>3</v>
      </c>
      <c r="B14" s="118" t="s">
        <v>25</v>
      </c>
      <c r="C14" s="99"/>
      <c r="D14" s="146"/>
      <c r="E14" s="62"/>
      <c r="F14" s="146"/>
      <c r="G14" s="8"/>
      <c r="H14" s="154"/>
      <c r="I14" s="22"/>
      <c r="J14" s="153"/>
      <c r="K14" s="22"/>
      <c r="L14" s="153"/>
      <c r="O14" s="15" t="s">
        <v>70</v>
      </c>
      <c r="P14" s="15" t="s">
        <v>71</v>
      </c>
      <c r="Q14" s="16">
        <v>40</v>
      </c>
      <c r="R14" s="47">
        <f t="shared" si="1"/>
        <v>40</v>
      </c>
      <c r="S14" s="46">
        <f t="shared" si="2"/>
        <v>0</v>
      </c>
    </row>
    <row r="15" spans="1:19" ht="80.099999999999994" customHeight="1" x14ac:dyDescent="0.3">
      <c r="A15" s="115"/>
      <c r="B15" s="118"/>
      <c r="C15" s="99"/>
      <c r="D15" s="146"/>
      <c r="E15" s="62"/>
      <c r="F15" s="146"/>
      <c r="G15" s="8"/>
      <c r="H15" s="154"/>
      <c r="I15" s="102"/>
      <c r="J15" s="153"/>
      <c r="K15" s="102"/>
      <c r="L15" s="153"/>
      <c r="O15" s="28" t="s">
        <v>70</v>
      </c>
      <c r="P15" s="28" t="s">
        <v>72</v>
      </c>
      <c r="Q15" s="29">
        <v>60</v>
      </c>
      <c r="R15" s="47">
        <f t="shared" si="1"/>
        <v>60</v>
      </c>
      <c r="S15" s="46">
        <f t="shared" si="2"/>
        <v>0</v>
      </c>
    </row>
    <row r="16" spans="1:19" ht="25.5" customHeight="1" x14ac:dyDescent="0.3">
      <c r="A16" s="115">
        <v>4</v>
      </c>
      <c r="B16" s="118" t="s">
        <v>26</v>
      </c>
      <c r="C16" s="99"/>
      <c r="D16" s="146"/>
      <c r="E16" s="62"/>
      <c r="F16" s="146"/>
      <c r="G16" s="8"/>
      <c r="H16" s="154"/>
      <c r="I16" s="22"/>
      <c r="J16" s="153"/>
      <c r="K16" s="22"/>
      <c r="L16" s="153"/>
      <c r="O16" s="17" t="s">
        <v>70</v>
      </c>
      <c r="P16" s="17" t="s">
        <v>73</v>
      </c>
      <c r="Q16" s="18">
        <v>60</v>
      </c>
      <c r="R16" s="47">
        <f t="shared" si="1"/>
        <v>60</v>
      </c>
      <c r="S16" s="46">
        <f t="shared" si="2"/>
        <v>0</v>
      </c>
    </row>
    <row r="17" spans="1:19" ht="80.099999999999994" customHeight="1" x14ac:dyDescent="0.3">
      <c r="A17" s="115"/>
      <c r="B17" s="118"/>
      <c r="C17" s="99"/>
      <c r="D17" s="146"/>
      <c r="E17" s="62"/>
      <c r="F17" s="146"/>
      <c r="G17" s="8"/>
      <c r="H17" s="154"/>
      <c r="I17" s="102"/>
      <c r="J17" s="153"/>
      <c r="K17" s="102"/>
      <c r="L17" s="153"/>
      <c r="O17" s="15" t="s">
        <v>62</v>
      </c>
      <c r="P17" s="15" t="s">
        <v>63</v>
      </c>
      <c r="Q17" s="16">
        <v>60</v>
      </c>
      <c r="R17" s="47">
        <f t="shared" si="1"/>
        <v>60</v>
      </c>
      <c r="S17" s="46">
        <f t="shared" si="2"/>
        <v>0</v>
      </c>
    </row>
    <row r="18" spans="1:19" ht="25.5" customHeight="1" x14ac:dyDescent="0.3">
      <c r="A18" s="109">
        <v>5</v>
      </c>
      <c r="B18" s="111" t="s">
        <v>27</v>
      </c>
      <c r="C18" s="69"/>
      <c r="D18" s="131"/>
      <c r="E18" s="69"/>
      <c r="F18" s="131"/>
      <c r="G18" s="8"/>
      <c r="H18" s="154"/>
      <c r="I18" s="69"/>
      <c r="J18" s="131"/>
      <c r="K18" s="69"/>
      <c r="L18" s="131"/>
      <c r="O18" s="28" t="s">
        <v>62</v>
      </c>
      <c r="P18" s="28" t="s">
        <v>64</v>
      </c>
      <c r="Q18" s="29">
        <v>40</v>
      </c>
      <c r="R18" s="47">
        <f t="shared" si="1"/>
        <v>40</v>
      </c>
      <c r="S18" s="46">
        <f t="shared" si="2"/>
        <v>0</v>
      </c>
    </row>
    <row r="19" spans="1:19" ht="80.099999999999994" customHeight="1" x14ac:dyDescent="0.3">
      <c r="A19" s="110"/>
      <c r="B19" s="111"/>
      <c r="C19" s="69"/>
      <c r="D19" s="132"/>
      <c r="E19" s="69"/>
      <c r="F19" s="132"/>
      <c r="G19" s="8"/>
      <c r="H19" s="154"/>
      <c r="I19" s="69"/>
      <c r="J19" s="132"/>
      <c r="K19" s="69"/>
      <c r="L19" s="132"/>
      <c r="O19" s="17" t="s">
        <v>62</v>
      </c>
      <c r="P19" s="17" t="s">
        <v>65</v>
      </c>
      <c r="Q19" s="18">
        <v>60</v>
      </c>
      <c r="R19" s="47">
        <f t="shared" si="1"/>
        <v>60</v>
      </c>
      <c r="S19" s="46">
        <f t="shared" si="2"/>
        <v>0</v>
      </c>
    </row>
    <row r="20" spans="1:19" ht="25.5" customHeight="1" x14ac:dyDescent="0.3">
      <c r="A20" s="109">
        <v>6</v>
      </c>
      <c r="B20" s="111" t="s">
        <v>28</v>
      </c>
      <c r="C20" s="99"/>
      <c r="D20" s="146"/>
      <c r="E20" s="99"/>
      <c r="F20" s="146"/>
      <c r="G20" s="8"/>
      <c r="H20" s="154"/>
      <c r="I20" s="8"/>
      <c r="J20" s="154"/>
      <c r="K20" s="8"/>
      <c r="L20" s="154"/>
      <c r="O20" s="24" t="s">
        <v>66</v>
      </c>
      <c r="P20" s="24" t="s">
        <v>67</v>
      </c>
      <c r="Q20" s="25">
        <v>60</v>
      </c>
      <c r="R20" s="47">
        <f t="shared" si="1"/>
        <v>60</v>
      </c>
      <c r="S20" s="46">
        <f t="shared" si="2"/>
        <v>0</v>
      </c>
    </row>
    <row r="21" spans="1:19" ht="80.099999999999994" customHeight="1" x14ac:dyDescent="0.3">
      <c r="A21" s="110"/>
      <c r="B21" s="111"/>
      <c r="C21" s="99"/>
      <c r="D21" s="146"/>
      <c r="E21" s="99"/>
      <c r="F21" s="146"/>
      <c r="G21" s="8"/>
      <c r="H21" s="154"/>
      <c r="I21" s="8"/>
      <c r="J21" s="154"/>
      <c r="K21" s="8"/>
      <c r="L21" s="154"/>
      <c r="O21" s="32" t="s">
        <v>66</v>
      </c>
      <c r="P21" s="32" t="s">
        <v>68</v>
      </c>
      <c r="Q21" s="33">
        <v>80</v>
      </c>
      <c r="R21" s="47">
        <f t="shared" si="1"/>
        <v>80</v>
      </c>
      <c r="S21" s="46">
        <f t="shared" si="2"/>
        <v>0</v>
      </c>
    </row>
    <row r="22" spans="1:19" ht="25.5" customHeight="1" x14ac:dyDescent="0.3">
      <c r="A22" s="109">
        <v>7</v>
      </c>
      <c r="B22" s="111" t="s">
        <v>29</v>
      </c>
      <c r="C22" s="99"/>
      <c r="D22" s="146"/>
      <c r="E22" s="99"/>
      <c r="F22" s="146"/>
      <c r="G22" s="8"/>
      <c r="H22" s="154"/>
      <c r="I22" s="8"/>
      <c r="J22" s="154"/>
      <c r="K22" s="8"/>
      <c r="L22" s="154"/>
      <c r="O22" s="30" t="s">
        <v>69</v>
      </c>
      <c r="P22" s="30" t="s">
        <v>69</v>
      </c>
      <c r="Q22" s="31">
        <v>75</v>
      </c>
      <c r="R22" s="47">
        <f t="shared" si="1"/>
        <v>75</v>
      </c>
      <c r="S22" s="46">
        <f t="shared" si="2"/>
        <v>0</v>
      </c>
    </row>
    <row r="23" spans="1:19" ht="80.099999999999994" customHeight="1" x14ac:dyDescent="0.3">
      <c r="A23" s="110"/>
      <c r="B23" s="111"/>
      <c r="C23" s="99"/>
      <c r="D23" s="146"/>
      <c r="E23" s="99"/>
      <c r="F23" s="146"/>
      <c r="G23" s="8"/>
      <c r="H23" s="154"/>
      <c r="I23" s="8"/>
      <c r="J23" s="154"/>
      <c r="K23" s="8"/>
      <c r="L23" s="154"/>
      <c r="O23" s="44" t="s">
        <v>90</v>
      </c>
      <c r="P23" s="44" t="s">
        <v>30</v>
      </c>
      <c r="Q23" s="21">
        <v>5</v>
      </c>
      <c r="R23" s="47">
        <f t="shared" si="1"/>
        <v>4</v>
      </c>
      <c r="S23" s="46">
        <f t="shared" si="2"/>
        <v>-1</v>
      </c>
    </row>
    <row r="24" spans="1:19" ht="25.5" customHeight="1" x14ac:dyDescent="0.3">
      <c r="A24" s="109">
        <v>8</v>
      </c>
      <c r="B24" s="111" t="s">
        <v>40</v>
      </c>
      <c r="C24" s="99"/>
      <c r="D24" s="146"/>
      <c r="E24" s="99"/>
      <c r="F24" s="146"/>
      <c r="G24" s="8"/>
      <c r="H24" s="154"/>
      <c r="I24" s="8"/>
      <c r="J24" s="154"/>
      <c r="K24" s="8"/>
      <c r="L24" s="154"/>
      <c r="O24" s="48"/>
      <c r="P24" s="48"/>
      <c r="Q24" s="49"/>
      <c r="R24" s="47"/>
      <c r="S24" s="46">
        <f t="shared" si="2"/>
        <v>0</v>
      </c>
    </row>
    <row r="25" spans="1:19" ht="80.099999999999994" customHeight="1" x14ac:dyDescent="0.3">
      <c r="A25" s="110"/>
      <c r="B25" s="111"/>
      <c r="C25" s="99"/>
      <c r="D25" s="146"/>
      <c r="E25" s="99"/>
      <c r="F25" s="146"/>
      <c r="G25" s="8"/>
      <c r="H25" s="154"/>
      <c r="I25" s="8"/>
      <c r="J25" s="154"/>
      <c r="K25" s="8"/>
      <c r="L25" s="154"/>
      <c r="O25" s="50"/>
      <c r="P25" s="50"/>
      <c r="Q25" s="51"/>
      <c r="R25" s="47"/>
      <c r="S25" s="46">
        <f t="shared" si="2"/>
        <v>0</v>
      </c>
    </row>
    <row r="26" spans="1:19" ht="27" customHeight="1" x14ac:dyDescent="0.3">
      <c r="A26" s="126" t="s">
        <v>12</v>
      </c>
      <c r="B26" s="126" t="s">
        <v>13</v>
      </c>
      <c r="C26" s="124" t="s">
        <v>14</v>
      </c>
      <c r="D26" s="124"/>
      <c r="E26" s="124" t="s">
        <v>15</v>
      </c>
      <c r="F26" s="124"/>
      <c r="G26" s="124" t="s">
        <v>16</v>
      </c>
      <c r="H26" s="124"/>
      <c r="I26" s="124" t="s">
        <v>17</v>
      </c>
      <c r="J26" s="124"/>
      <c r="K26" s="124" t="s">
        <v>18</v>
      </c>
      <c r="L26" s="124"/>
      <c r="O26" s="52"/>
      <c r="P26" s="52"/>
      <c r="Q26" s="53"/>
      <c r="R26" s="47"/>
      <c r="S26" s="46">
        <f t="shared" si="2"/>
        <v>0</v>
      </c>
    </row>
    <row r="27" spans="1:19" ht="27" customHeight="1" thickBot="1" x14ac:dyDescent="0.35">
      <c r="A27" s="127"/>
      <c r="B27" s="127"/>
      <c r="C27" s="125">
        <f>K9+3</f>
        <v>45922</v>
      </c>
      <c r="D27" s="125"/>
      <c r="E27" s="125">
        <f>C27+1</f>
        <v>45923</v>
      </c>
      <c r="F27" s="125"/>
      <c r="G27" s="125">
        <f>E27+1</f>
        <v>45924</v>
      </c>
      <c r="H27" s="125"/>
      <c r="I27" s="125">
        <f>G27+1</f>
        <v>45925</v>
      </c>
      <c r="J27" s="125"/>
      <c r="K27" s="125">
        <f>I27+1</f>
        <v>45926</v>
      </c>
      <c r="L27" s="125"/>
      <c r="O27" s="54"/>
      <c r="P27" s="54"/>
      <c r="Q27" s="55"/>
      <c r="R27" s="47"/>
      <c r="S27" s="46">
        <f t="shared" si="2"/>
        <v>0</v>
      </c>
    </row>
    <row r="28" spans="1:19" ht="25.5" customHeight="1" thickTop="1" x14ac:dyDescent="0.3">
      <c r="A28" s="109">
        <v>1</v>
      </c>
      <c r="B28" s="119" t="s">
        <v>23</v>
      </c>
      <c r="C28" s="22" t="s">
        <v>57</v>
      </c>
      <c r="D28" s="153" t="s">
        <v>92</v>
      </c>
      <c r="E28" s="22" t="s">
        <v>57</v>
      </c>
      <c r="F28" s="153" t="s">
        <v>92</v>
      </c>
      <c r="G28" s="22" t="s">
        <v>57</v>
      </c>
      <c r="H28" s="153" t="s">
        <v>92</v>
      </c>
      <c r="I28" s="22" t="s">
        <v>57</v>
      </c>
      <c r="J28" s="153" t="s">
        <v>92</v>
      </c>
      <c r="K28" s="22" t="s">
        <v>57</v>
      </c>
      <c r="L28" s="153" t="s">
        <v>92</v>
      </c>
      <c r="O28" s="56"/>
      <c r="P28" s="56"/>
      <c r="Q28" s="57"/>
      <c r="R28" s="47"/>
      <c r="S28" s="46">
        <f t="shared" si="2"/>
        <v>0</v>
      </c>
    </row>
    <row r="29" spans="1:19" ht="80.099999999999994" customHeight="1" x14ac:dyDescent="0.3">
      <c r="A29" s="110"/>
      <c r="B29" s="120"/>
      <c r="C29" s="102" t="s">
        <v>60</v>
      </c>
      <c r="D29" s="153"/>
      <c r="E29" s="102" t="s">
        <v>60</v>
      </c>
      <c r="F29" s="153"/>
      <c r="G29" s="102" t="s">
        <v>60</v>
      </c>
      <c r="H29" s="153"/>
      <c r="I29" s="102" t="s">
        <v>60</v>
      </c>
      <c r="J29" s="153"/>
      <c r="K29" s="102" t="s">
        <v>60</v>
      </c>
      <c r="L29" s="153"/>
      <c r="O29" s="19"/>
      <c r="P29" s="19"/>
      <c r="Q29" s="20"/>
      <c r="R29" s="47"/>
      <c r="S29" s="46">
        <f t="shared" si="2"/>
        <v>0</v>
      </c>
    </row>
    <row r="30" spans="1:19" ht="25.5" customHeight="1" x14ac:dyDescent="0.3">
      <c r="A30" s="115">
        <v>2</v>
      </c>
      <c r="B30" s="118" t="s">
        <v>24</v>
      </c>
      <c r="C30" s="22" t="s">
        <v>57</v>
      </c>
      <c r="D30" s="153" t="s">
        <v>92</v>
      </c>
      <c r="E30" s="22" t="s">
        <v>57</v>
      </c>
      <c r="F30" s="153" t="s">
        <v>92</v>
      </c>
      <c r="G30" s="22" t="s">
        <v>57</v>
      </c>
      <c r="H30" s="153" t="s">
        <v>92</v>
      </c>
      <c r="I30" s="22" t="s">
        <v>57</v>
      </c>
      <c r="J30" s="153" t="s">
        <v>92</v>
      </c>
      <c r="K30" s="22" t="s">
        <v>57</v>
      </c>
      <c r="L30" s="153" t="s">
        <v>92</v>
      </c>
      <c r="Q30" s="45">
        <f>SUM(Q7:Q29)</f>
        <v>800</v>
      </c>
      <c r="R30" s="45">
        <f>SUM(R7:R29)</f>
        <v>779</v>
      </c>
      <c r="S30" s="45">
        <f>SUM(S7:S29)</f>
        <v>-21</v>
      </c>
    </row>
    <row r="31" spans="1:19" ht="80.099999999999994" customHeight="1" x14ac:dyDescent="0.3">
      <c r="A31" s="115"/>
      <c r="B31" s="118"/>
      <c r="C31" s="102" t="s">
        <v>60</v>
      </c>
      <c r="D31" s="153"/>
      <c r="E31" s="102" t="s">
        <v>60</v>
      </c>
      <c r="F31" s="153"/>
      <c r="G31" s="102" t="s">
        <v>60</v>
      </c>
      <c r="H31" s="153"/>
      <c r="I31" s="102" t="s">
        <v>60</v>
      </c>
      <c r="J31" s="153"/>
      <c r="K31" s="102" t="s">
        <v>60</v>
      </c>
      <c r="L31" s="153"/>
    </row>
    <row r="32" spans="1:19" ht="25.5" customHeight="1" x14ac:dyDescent="0.3">
      <c r="A32" s="115">
        <v>3</v>
      </c>
      <c r="B32" s="118" t="s">
        <v>25</v>
      </c>
      <c r="C32" s="22" t="s">
        <v>57</v>
      </c>
      <c r="D32" s="153" t="s">
        <v>92</v>
      </c>
      <c r="E32" s="22" t="s">
        <v>57</v>
      </c>
      <c r="F32" s="153" t="s">
        <v>92</v>
      </c>
      <c r="G32" s="22" t="s">
        <v>57</v>
      </c>
      <c r="H32" s="153" t="s">
        <v>92</v>
      </c>
      <c r="I32" s="22" t="s">
        <v>57</v>
      </c>
      <c r="J32" s="153" t="s">
        <v>92</v>
      </c>
      <c r="K32" s="22" t="s">
        <v>57</v>
      </c>
      <c r="L32" s="153" t="s">
        <v>92</v>
      </c>
      <c r="O32" s="45" t="s">
        <v>92</v>
      </c>
      <c r="P32" s="45">
        <f>COUNTIF(A8:L421,O32)</f>
        <v>235</v>
      </c>
    </row>
    <row r="33" spans="1:12" ht="80.099999999999994" customHeight="1" x14ac:dyDescent="0.3">
      <c r="A33" s="115"/>
      <c r="B33" s="118"/>
      <c r="C33" s="102" t="s">
        <v>60</v>
      </c>
      <c r="D33" s="153"/>
      <c r="E33" s="102" t="s">
        <v>60</v>
      </c>
      <c r="F33" s="153"/>
      <c r="G33" s="102" t="s">
        <v>60</v>
      </c>
      <c r="H33" s="153"/>
      <c r="I33" s="102" t="s">
        <v>60</v>
      </c>
      <c r="J33" s="153"/>
      <c r="K33" s="102" t="s">
        <v>60</v>
      </c>
      <c r="L33" s="153"/>
    </row>
    <row r="34" spans="1:12" ht="25.5" customHeight="1" x14ac:dyDescent="0.3">
      <c r="A34" s="115">
        <v>4</v>
      </c>
      <c r="B34" s="118" t="s">
        <v>26</v>
      </c>
      <c r="C34" s="22" t="s">
        <v>57</v>
      </c>
      <c r="D34" s="153" t="s">
        <v>92</v>
      </c>
      <c r="E34" s="22" t="s">
        <v>57</v>
      </c>
      <c r="F34" s="153" t="s">
        <v>92</v>
      </c>
      <c r="G34" s="22" t="s">
        <v>57</v>
      </c>
      <c r="H34" s="153" t="s">
        <v>92</v>
      </c>
      <c r="I34" s="22" t="s">
        <v>57</v>
      </c>
      <c r="J34" s="153" t="s">
        <v>92</v>
      </c>
      <c r="K34" s="22" t="s">
        <v>57</v>
      </c>
      <c r="L34" s="153" t="s">
        <v>92</v>
      </c>
    </row>
    <row r="35" spans="1:12" ht="80.099999999999994" customHeight="1" x14ac:dyDescent="0.3">
      <c r="A35" s="115"/>
      <c r="B35" s="118"/>
      <c r="C35" s="102" t="s">
        <v>60</v>
      </c>
      <c r="D35" s="153"/>
      <c r="E35" s="102" t="s">
        <v>60</v>
      </c>
      <c r="F35" s="153"/>
      <c r="G35" s="102" t="s">
        <v>60</v>
      </c>
      <c r="H35" s="153"/>
      <c r="I35" s="102" t="s">
        <v>60</v>
      </c>
      <c r="J35" s="153"/>
      <c r="K35" s="102" t="s">
        <v>60</v>
      </c>
      <c r="L35" s="153"/>
    </row>
    <row r="36" spans="1:12" ht="25.5" customHeight="1" x14ac:dyDescent="0.3">
      <c r="A36" s="109">
        <v>5</v>
      </c>
      <c r="B36" s="111" t="s">
        <v>27</v>
      </c>
      <c r="C36" s="69"/>
      <c r="D36" s="131"/>
      <c r="E36" s="69"/>
      <c r="F36" s="131"/>
      <c r="G36" s="69"/>
      <c r="H36" s="131"/>
      <c r="I36" s="8" t="s">
        <v>54</v>
      </c>
      <c r="J36" s="154" t="s">
        <v>91</v>
      </c>
      <c r="K36" s="8" t="s">
        <v>54</v>
      </c>
      <c r="L36" s="154" t="s">
        <v>91</v>
      </c>
    </row>
    <row r="37" spans="1:12" ht="80.099999999999994" customHeight="1" x14ac:dyDescent="0.3">
      <c r="A37" s="110"/>
      <c r="B37" s="111"/>
      <c r="C37" s="69"/>
      <c r="D37" s="132"/>
      <c r="E37" s="69"/>
      <c r="F37" s="132"/>
      <c r="G37" s="69"/>
      <c r="H37" s="132"/>
      <c r="I37" s="8" t="s">
        <v>55</v>
      </c>
      <c r="J37" s="154"/>
      <c r="K37" s="8" t="s">
        <v>55</v>
      </c>
      <c r="L37" s="154"/>
    </row>
    <row r="38" spans="1:12" ht="25.5" customHeight="1" x14ac:dyDescent="0.3">
      <c r="A38" s="109">
        <v>6</v>
      </c>
      <c r="B38" s="111" t="s">
        <v>28</v>
      </c>
      <c r="C38" s="8" t="s">
        <v>54</v>
      </c>
      <c r="D38" s="154" t="s">
        <v>91</v>
      </c>
      <c r="E38" s="8" t="s">
        <v>54</v>
      </c>
      <c r="F38" s="154" t="s">
        <v>91</v>
      </c>
      <c r="G38" s="8" t="s">
        <v>54</v>
      </c>
      <c r="H38" s="154" t="s">
        <v>91</v>
      </c>
      <c r="I38" s="8" t="s">
        <v>54</v>
      </c>
      <c r="J38" s="154" t="s">
        <v>91</v>
      </c>
      <c r="K38" s="8" t="s">
        <v>54</v>
      </c>
      <c r="L38" s="154" t="s">
        <v>91</v>
      </c>
    </row>
    <row r="39" spans="1:12" ht="80.099999999999994" customHeight="1" x14ac:dyDescent="0.3">
      <c r="A39" s="110"/>
      <c r="B39" s="111"/>
      <c r="C39" s="8" t="s">
        <v>55</v>
      </c>
      <c r="D39" s="154"/>
      <c r="E39" s="8" t="s">
        <v>55</v>
      </c>
      <c r="F39" s="154"/>
      <c r="G39" s="8" t="s">
        <v>55</v>
      </c>
      <c r="H39" s="154"/>
      <c r="I39" s="8" t="s">
        <v>55</v>
      </c>
      <c r="J39" s="154"/>
      <c r="K39" s="8" t="s">
        <v>55</v>
      </c>
      <c r="L39" s="154"/>
    </row>
    <row r="40" spans="1:12" ht="25.5" customHeight="1" x14ac:dyDescent="0.3">
      <c r="A40" s="109">
        <v>7</v>
      </c>
      <c r="B40" s="111" t="s">
        <v>29</v>
      </c>
      <c r="C40" s="8" t="s">
        <v>54</v>
      </c>
      <c r="D40" s="154" t="s">
        <v>91</v>
      </c>
      <c r="E40" s="8" t="s">
        <v>54</v>
      </c>
      <c r="F40" s="154" t="s">
        <v>91</v>
      </c>
      <c r="G40" s="8" t="s">
        <v>54</v>
      </c>
      <c r="H40" s="154" t="s">
        <v>91</v>
      </c>
      <c r="I40" s="8" t="s">
        <v>54</v>
      </c>
      <c r="J40" s="154" t="s">
        <v>91</v>
      </c>
      <c r="K40" s="8" t="s">
        <v>54</v>
      </c>
      <c r="L40" s="154" t="s">
        <v>91</v>
      </c>
    </row>
    <row r="41" spans="1:12" ht="80.099999999999994" customHeight="1" x14ac:dyDescent="0.3">
      <c r="A41" s="110"/>
      <c r="B41" s="111"/>
      <c r="C41" s="8" t="s">
        <v>55</v>
      </c>
      <c r="D41" s="154"/>
      <c r="E41" s="8" t="s">
        <v>55</v>
      </c>
      <c r="F41" s="154"/>
      <c r="G41" s="8" t="s">
        <v>55</v>
      </c>
      <c r="H41" s="154"/>
      <c r="I41" s="8" t="s">
        <v>55</v>
      </c>
      <c r="J41" s="154"/>
      <c r="K41" s="8" t="s">
        <v>55</v>
      </c>
      <c r="L41" s="154"/>
    </row>
    <row r="42" spans="1:12" ht="25.5" customHeight="1" x14ac:dyDescent="0.3">
      <c r="A42" s="109">
        <v>8</v>
      </c>
      <c r="B42" s="111" t="s">
        <v>40</v>
      </c>
      <c r="C42" s="8" t="s">
        <v>54</v>
      </c>
      <c r="D42" s="154" t="s">
        <v>91</v>
      </c>
      <c r="E42" s="8" t="s">
        <v>54</v>
      </c>
      <c r="F42" s="154" t="s">
        <v>91</v>
      </c>
      <c r="G42" s="8" t="s">
        <v>54</v>
      </c>
      <c r="H42" s="154" t="s">
        <v>91</v>
      </c>
      <c r="I42" s="8" t="s">
        <v>54</v>
      </c>
      <c r="J42" s="154" t="s">
        <v>91</v>
      </c>
      <c r="K42" s="8" t="s">
        <v>54</v>
      </c>
      <c r="L42" s="154" t="s">
        <v>91</v>
      </c>
    </row>
    <row r="43" spans="1:12" ht="80.099999999999994" customHeight="1" x14ac:dyDescent="0.3">
      <c r="A43" s="110"/>
      <c r="B43" s="111"/>
      <c r="C43" s="8" t="s">
        <v>55</v>
      </c>
      <c r="D43" s="154"/>
      <c r="E43" s="8" t="s">
        <v>55</v>
      </c>
      <c r="F43" s="154"/>
      <c r="G43" s="8" t="s">
        <v>55</v>
      </c>
      <c r="H43" s="154"/>
      <c r="I43" s="8" t="s">
        <v>55</v>
      </c>
      <c r="J43" s="154"/>
      <c r="K43" s="8" t="s">
        <v>55</v>
      </c>
      <c r="L43" s="154"/>
    </row>
    <row r="44" spans="1:12" ht="27" customHeight="1" x14ac:dyDescent="0.3">
      <c r="A44" s="126" t="s">
        <v>12</v>
      </c>
      <c r="B44" s="126" t="s">
        <v>13</v>
      </c>
      <c r="C44" s="124" t="s">
        <v>14</v>
      </c>
      <c r="D44" s="124"/>
      <c r="E44" s="124" t="s">
        <v>15</v>
      </c>
      <c r="F44" s="124"/>
      <c r="G44" s="124" t="s">
        <v>16</v>
      </c>
      <c r="H44" s="124"/>
      <c r="I44" s="124" t="s">
        <v>17</v>
      </c>
      <c r="J44" s="124"/>
      <c r="K44" s="124" t="s">
        <v>18</v>
      </c>
      <c r="L44" s="124"/>
    </row>
    <row r="45" spans="1:12" ht="27" customHeight="1" thickBot="1" x14ac:dyDescent="0.35">
      <c r="A45" s="127"/>
      <c r="B45" s="127"/>
      <c r="C45" s="125">
        <f>K27+3</f>
        <v>45929</v>
      </c>
      <c r="D45" s="125"/>
      <c r="E45" s="125">
        <f>C45+1</f>
        <v>45930</v>
      </c>
      <c r="F45" s="125"/>
      <c r="G45" s="125">
        <f>E45+1</f>
        <v>45931</v>
      </c>
      <c r="H45" s="125"/>
      <c r="I45" s="125">
        <f>G45+1</f>
        <v>45932</v>
      </c>
      <c r="J45" s="125"/>
      <c r="K45" s="125">
        <f>I45+1</f>
        <v>45933</v>
      </c>
      <c r="L45" s="125"/>
    </row>
    <row r="46" spans="1:12" ht="25.5" customHeight="1" thickTop="1" x14ac:dyDescent="0.3">
      <c r="A46" s="109">
        <v>1</v>
      </c>
      <c r="B46" s="119" t="s">
        <v>23</v>
      </c>
      <c r="C46" s="22" t="s">
        <v>57</v>
      </c>
      <c r="D46" s="153" t="s">
        <v>92</v>
      </c>
      <c r="E46" s="22" t="s">
        <v>57</v>
      </c>
      <c r="F46" s="153" t="s">
        <v>92</v>
      </c>
      <c r="G46" s="22" t="s">
        <v>57</v>
      </c>
      <c r="H46" s="153" t="s">
        <v>92</v>
      </c>
      <c r="I46" s="10" t="s">
        <v>54</v>
      </c>
      <c r="J46" s="151" t="s">
        <v>114</v>
      </c>
      <c r="K46" s="62"/>
      <c r="L46" s="146"/>
    </row>
    <row r="47" spans="1:12" ht="80.099999999999994" customHeight="1" x14ac:dyDescent="0.3">
      <c r="A47" s="110"/>
      <c r="B47" s="120"/>
      <c r="C47" s="102" t="s">
        <v>60</v>
      </c>
      <c r="D47" s="153"/>
      <c r="E47" s="102" t="s">
        <v>60</v>
      </c>
      <c r="F47" s="153"/>
      <c r="G47" s="102" t="s">
        <v>60</v>
      </c>
      <c r="H47" s="153"/>
      <c r="I47" s="10" t="s">
        <v>106</v>
      </c>
      <c r="J47" s="152"/>
      <c r="K47" s="62"/>
      <c r="L47" s="146"/>
    </row>
    <row r="48" spans="1:12" ht="25.5" customHeight="1" x14ac:dyDescent="0.3">
      <c r="A48" s="115">
        <v>2</v>
      </c>
      <c r="B48" s="118" t="s">
        <v>24</v>
      </c>
      <c r="C48" s="22" t="s">
        <v>57</v>
      </c>
      <c r="D48" s="153" t="s">
        <v>92</v>
      </c>
      <c r="E48" s="22" t="s">
        <v>57</v>
      </c>
      <c r="F48" s="153" t="s">
        <v>92</v>
      </c>
      <c r="G48" s="22" t="s">
        <v>57</v>
      </c>
      <c r="H48" s="153" t="s">
        <v>92</v>
      </c>
      <c r="I48" s="10" t="s">
        <v>54</v>
      </c>
      <c r="J48" s="151" t="s">
        <v>114</v>
      </c>
      <c r="K48" s="62"/>
      <c r="L48" s="146"/>
    </row>
    <row r="49" spans="1:12" ht="80.099999999999994" customHeight="1" x14ac:dyDescent="0.3">
      <c r="A49" s="115"/>
      <c r="B49" s="118"/>
      <c r="C49" s="102" t="s">
        <v>60</v>
      </c>
      <c r="D49" s="153"/>
      <c r="E49" s="102" t="s">
        <v>60</v>
      </c>
      <c r="F49" s="153"/>
      <c r="G49" s="102" t="s">
        <v>60</v>
      </c>
      <c r="H49" s="153"/>
      <c r="I49" s="10" t="s">
        <v>106</v>
      </c>
      <c r="J49" s="152"/>
      <c r="K49" s="62" t="s">
        <v>93</v>
      </c>
      <c r="L49" s="146"/>
    </row>
    <row r="50" spans="1:12" ht="25.5" customHeight="1" x14ac:dyDescent="0.3">
      <c r="A50" s="115">
        <v>3</v>
      </c>
      <c r="B50" s="118" t="s">
        <v>25</v>
      </c>
      <c r="C50" s="22" t="s">
        <v>57</v>
      </c>
      <c r="D50" s="153" t="s">
        <v>92</v>
      </c>
      <c r="E50" s="22" t="s">
        <v>57</v>
      </c>
      <c r="F50" s="153" t="s">
        <v>92</v>
      </c>
      <c r="G50" s="22" t="s">
        <v>57</v>
      </c>
      <c r="H50" s="153" t="s">
        <v>92</v>
      </c>
      <c r="I50" s="10" t="s">
        <v>54</v>
      </c>
      <c r="J50" s="151" t="s">
        <v>114</v>
      </c>
      <c r="K50" s="62"/>
      <c r="L50" s="146"/>
    </row>
    <row r="51" spans="1:12" ht="80.099999999999994" customHeight="1" x14ac:dyDescent="0.3">
      <c r="A51" s="115"/>
      <c r="B51" s="118"/>
      <c r="C51" s="102" t="s">
        <v>60</v>
      </c>
      <c r="D51" s="153"/>
      <c r="E51" s="102" t="s">
        <v>60</v>
      </c>
      <c r="F51" s="153"/>
      <c r="G51" s="102" t="s">
        <v>60</v>
      </c>
      <c r="H51" s="153"/>
      <c r="I51" s="10" t="s">
        <v>106</v>
      </c>
      <c r="J51" s="152"/>
      <c r="K51" s="62"/>
      <c r="L51" s="146"/>
    </row>
    <row r="52" spans="1:12" ht="25.5" customHeight="1" x14ac:dyDescent="0.3">
      <c r="A52" s="115">
        <v>4</v>
      </c>
      <c r="B52" s="118" t="s">
        <v>26</v>
      </c>
      <c r="C52" s="22" t="s">
        <v>57</v>
      </c>
      <c r="D52" s="153" t="s">
        <v>92</v>
      </c>
      <c r="E52" s="22" t="s">
        <v>57</v>
      </c>
      <c r="F52" s="153" t="s">
        <v>92</v>
      </c>
      <c r="G52" s="22" t="s">
        <v>57</v>
      </c>
      <c r="H52" s="153" t="s">
        <v>92</v>
      </c>
      <c r="I52" s="10" t="s">
        <v>54</v>
      </c>
      <c r="J52" s="151" t="s">
        <v>114</v>
      </c>
      <c r="K52" s="62"/>
      <c r="L52" s="146"/>
    </row>
    <row r="53" spans="1:12" ht="80.099999999999994" customHeight="1" x14ac:dyDescent="0.3">
      <c r="A53" s="115"/>
      <c r="B53" s="118"/>
      <c r="C53" s="102" t="s">
        <v>60</v>
      </c>
      <c r="D53" s="153"/>
      <c r="E53" s="102" t="s">
        <v>60</v>
      </c>
      <c r="F53" s="153"/>
      <c r="G53" s="102" t="s">
        <v>60</v>
      </c>
      <c r="H53" s="153"/>
      <c r="I53" s="10" t="s">
        <v>106</v>
      </c>
      <c r="J53" s="152"/>
      <c r="K53" s="62" t="s">
        <v>94</v>
      </c>
      <c r="L53" s="146"/>
    </row>
    <row r="54" spans="1:12" ht="25.5" customHeight="1" x14ac:dyDescent="0.3">
      <c r="A54" s="109">
        <v>5</v>
      </c>
      <c r="B54" s="111" t="s">
        <v>27</v>
      </c>
      <c r="C54" s="8" t="s">
        <v>54</v>
      </c>
      <c r="D54" s="154" t="s">
        <v>91</v>
      </c>
      <c r="E54" s="8" t="s">
        <v>54</v>
      </c>
      <c r="F54" s="154" t="s">
        <v>91</v>
      </c>
      <c r="G54" s="8" t="s">
        <v>54</v>
      </c>
      <c r="H54" s="154" t="s">
        <v>91</v>
      </c>
      <c r="I54" s="10" t="s">
        <v>54</v>
      </c>
      <c r="J54" s="151" t="s">
        <v>114</v>
      </c>
      <c r="K54" s="62"/>
      <c r="L54" s="146"/>
    </row>
    <row r="55" spans="1:12" ht="80.099999999999994" customHeight="1" x14ac:dyDescent="0.3">
      <c r="A55" s="110"/>
      <c r="B55" s="111"/>
      <c r="C55" s="8" t="s">
        <v>55</v>
      </c>
      <c r="D55" s="154"/>
      <c r="E55" s="8" t="s">
        <v>55</v>
      </c>
      <c r="F55" s="154"/>
      <c r="G55" s="8" t="s">
        <v>55</v>
      </c>
      <c r="H55" s="154"/>
      <c r="I55" s="10" t="s">
        <v>106</v>
      </c>
      <c r="J55" s="152"/>
      <c r="K55" s="62"/>
      <c r="L55" s="146"/>
    </row>
    <row r="56" spans="1:12" ht="25.5" customHeight="1" x14ac:dyDescent="0.3">
      <c r="A56" s="109">
        <v>6</v>
      </c>
      <c r="B56" s="111" t="s">
        <v>28</v>
      </c>
      <c r="C56" s="8" t="s">
        <v>54</v>
      </c>
      <c r="D56" s="154" t="s">
        <v>91</v>
      </c>
      <c r="E56" s="8" t="s">
        <v>54</v>
      </c>
      <c r="F56" s="154" t="s">
        <v>91</v>
      </c>
      <c r="G56" s="8" t="s">
        <v>54</v>
      </c>
      <c r="H56" s="154" t="s">
        <v>91</v>
      </c>
      <c r="I56" s="10" t="s">
        <v>54</v>
      </c>
      <c r="J56" s="151" t="s">
        <v>114</v>
      </c>
      <c r="K56" s="62"/>
      <c r="L56" s="146"/>
    </row>
    <row r="57" spans="1:12" ht="80.099999999999994" customHeight="1" x14ac:dyDescent="0.3">
      <c r="A57" s="110"/>
      <c r="B57" s="111"/>
      <c r="C57" s="8" t="s">
        <v>55</v>
      </c>
      <c r="D57" s="154"/>
      <c r="E57" s="8" t="s">
        <v>55</v>
      </c>
      <c r="F57" s="154"/>
      <c r="G57" s="8" t="s">
        <v>55</v>
      </c>
      <c r="H57" s="154"/>
      <c r="I57" s="10" t="s">
        <v>106</v>
      </c>
      <c r="J57" s="152"/>
      <c r="K57" s="62" t="s">
        <v>95</v>
      </c>
      <c r="L57" s="146"/>
    </row>
    <row r="58" spans="1:12" ht="25.5" customHeight="1" x14ac:dyDescent="0.3">
      <c r="A58" s="109">
        <v>7</v>
      </c>
      <c r="B58" s="111" t="s">
        <v>29</v>
      </c>
      <c r="C58" s="8" t="s">
        <v>54</v>
      </c>
      <c r="D58" s="154" t="s">
        <v>91</v>
      </c>
      <c r="E58" s="8" t="s">
        <v>54</v>
      </c>
      <c r="F58" s="154" t="s">
        <v>91</v>
      </c>
      <c r="G58" s="8" t="s">
        <v>54</v>
      </c>
      <c r="H58" s="154" t="s">
        <v>91</v>
      </c>
      <c r="I58" s="10" t="s">
        <v>54</v>
      </c>
      <c r="J58" s="151" t="s">
        <v>114</v>
      </c>
      <c r="K58" s="62"/>
      <c r="L58" s="146"/>
    </row>
    <row r="59" spans="1:12" ht="80.099999999999994" customHeight="1" x14ac:dyDescent="0.3">
      <c r="A59" s="110"/>
      <c r="B59" s="111"/>
      <c r="C59" s="8" t="s">
        <v>55</v>
      </c>
      <c r="D59" s="154"/>
      <c r="E59" s="8" t="s">
        <v>55</v>
      </c>
      <c r="F59" s="154"/>
      <c r="G59" s="8" t="s">
        <v>55</v>
      </c>
      <c r="H59" s="154"/>
      <c r="I59" s="10" t="s">
        <v>106</v>
      </c>
      <c r="J59" s="152"/>
      <c r="K59" s="62"/>
      <c r="L59" s="146"/>
    </row>
    <row r="60" spans="1:12" ht="25.5" customHeight="1" x14ac:dyDescent="0.3">
      <c r="A60" s="109">
        <v>8</v>
      </c>
      <c r="B60" s="111" t="s">
        <v>40</v>
      </c>
      <c r="C60" s="8" t="s">
        <v>54</v>
      </c>
      <c r="D60" s="154" t="s">
        <v>91</v>
      </c>
      <c r="E60" s="8" t="s">
        <v>54</v>
      </c>
      <c r="F60" s="154" t="s">
        <v>91</v>
      </c>
      <c r="G60" s="10" t="s">
        <v>54</v>
      </c>
      <c r="H60" s="151" t="s">
        <v>114</v>
      </c>
      <c r="I60" s="10" t="s">
        <v>54</v>
      </c>
      <c r="J60" s="151" t="s">
        <v>114</v>
      </c>
      <c r="K60" s="62"/>
      <c r="L60" s="146"/>
    </row>
    <row r="61" spans="1:12" ht="80.099999999999994" customHeight="1" x14ac:dyDescent="0.3">
      <c r="A61" s="110"/>
      <c r="B61" s="111"/>
      <c r="C61" s="8" t="s">
        <v>55</v>
      </c>
      <c r="D61" s="154"/>
      <c r="E61" s="8" t="s">
        <v>55</v>
      </c>
      <c r="F61" s="154"/>
      <c r="G61" s="10" t="s">
        <v>106</v>
      </c>
      <c r="H61" s="152"/>
      <c r="I61" s="10" t="s">
        <v>106</v>
      </c>
      <c r="J61" s="152"/>
      <c r="K61" s="62"/>
      <c r="L61" s="146"/>
    </row>
    <row r="62" spans="1:12" ht="27" customHeight="1" x14ac:dyDescent="0.3">
      <c r="A62" s="126" t="s">
        <v>12</v>
      </c>
      <c r="B62" s="126" t="s">
        <v>13</v>
      </c>
      <c r="C62" s="124" t="s">
        <v>14</v>
      </c>
      <c r="D62" s="124"/>
      <c r="E62" s="124" t="s">
        <v>15</v>
      </c>
      <c r="F62" s="124"/>
      <c r="G62" s="124" t="s">
        <v>16</v>
      </c>
      <c r="H62" s="124"/>
      <c r="I62" s="124" t="s">
        <v>17</v>
      </c>
      <c r="J62" s="124"/>
      <c r="K62" s="124" t="s">
        <v>18</v>
      </c>
      <c r="L62" s="124"/>
    </row>
    <row r="63" spans="1:12" ht="27" customHeight="1" thickBot="1" x14ac:dyDescent="0.35">
      <c r="A63" s="127"/>
      <c r="B63" s="127"/>
      <c r="C63" s="125">
        <f>K45+3</f>
        <v>45936</v>
      </c>
      <c r="D63" s="125"/>
      <c r="E63" s="125">
        <f>C63+1</f>
        <v>45937</v>
      </c>
      <c r="F63" s="125"/>
      <c r="G63" s="125">
        <f>E63+1</f>
        <v>45938</v>
      </c>
      <c r="H63" s="125"/>
      <c r="I63" s="125">
        <f>G63+1</f>
        <v>45939</v>
      </c>
      <c r="J63" s="125"/>
      <c r="K63" s="125">
        <f>I63+1</f>
        <v>45940</v>
      </c>
      <c r="L63" s="125"/>
    </row>
    <row r="64" spans="1:12" ht="25.5" customHeight="1" thickTop="1" x14ac:dyDescent="0.3">
      <c r="A64" s="109">
        <v>1</v>
      </c>
      <c r="B64" s="119" t="s">
        <v>23</v>
      </c>
      <c r="C64" s="62"/>
      <c r="D64" s="146"/>
      <c r="E64" s="62"/>
      <c r="F64" s="146"/>
      <c r="G64" s="62"/>
      <c r="H64" s="146"/>
      <c r="I64" s="62"/>
      <c r="J64" s="146"/>
      <c r="K64" s="22" t="s">
        <v>57</v>
      </c>
      <c r="L64" s="153" t="s">
        <v>92</v>
      </c>
    </row>
    <row r="65" spans="1:12" ht="80.099999999999994" customHeight="1" x14ac:dyDescent="0.3">
      <c r="A65" s="110"/>
      <c r="B65" s="120"/>
      <c r="C65" s="62"/>
      <c r="D65" s="146"/>
      <c r="E65" s="62"/>
      <c r="F65" s="146"/>
      <c r="G65" s="62"/>
      <c r="H65" s="146"/>
      <c r="I65" s="62"/>
      <c r="J65" s="146"/>
      <c r="K65" s="102" t="s">
        <v>60</v>
      </c>
      <c r="L65" s="153"/>
    </row>
    <row r="66" spans="1:12" ht="25.5" customHeight="1" x14ac:dyDescent="0.3">
      <c r="A66" s="115">
        <v>2</v>
      </c>
      <c r="B66" s="118" t="s">
        <v>24</v>
      </c>
      <c r="C66" s="62"/>
      <c r="D66" s="146"/>
      <c r="E66" s="62"/>
      <c r="F66" s="146"/>
      <c r="G66" s="62"/>
      <c r="H66" s="146"/>
      <c r="I66" s="62"/>
      <c r="J66" s="146"/>
      <c r="K66" s="22" t="s">
        <v>57</v>
      </c>
      <c r="L66" s="153" t="s">
        <v>92</v>
      </c>
    </row>
    <row r="67" spans="1:12" ht="80.099999999999994" customHeight="1" x14ac:dyDescent="0.3">
      <c r="A67" s="115"/>
      <c r="B67" s="118"/>
      <c r="C67" s="62"/>
      <c r="D67" s="146"/>
      <c r="E67" s="62" t="s">
        <v>116</v>
      </c>
      <c r="F67" s="146"/>
      <c r="G67" s="62" t="s">
        <v>97</v>
      </c>
      <c r="H67" s="146"/>
      <c r="I67" s="62" t="s">
        <v>102</v>
      </c>
      <c r="J67" s="146"/>
      <c r="K67" s="102" t="s">
        <v>60</v>
      </c>
      <c r="L67" s="153"/>
    </row>
    <row r="68" spans="1:12" ht="25.5" customHeight="1" x14ac:dyDescent="0.3">
      <c r="A68" s="115">
        <v>3</v>
      </c>
      <c r="B68" s="118" t="s">
        <v>25</v>
      </c>
      <c r="C68" s="62"/>
      <c r="D68" s="146"/>
      <c r="E68" s="62"/>
      <c r="F68" s="146"/>
      <c r="G68" s="62"/>
      <c r="H68" s="146"/>
      <c r="I68" s="62"/>
      <c r="J68" s="146"/>
      <c r="K68" s="22" t="s">
        <v>57</v>
      </c>
      <c r="L68" s="153" t="s">
        <v>92</v>
      </c>
    </row>
    <row r="69" spans="1:12" ht="80.099999999999994" customHeight="1" x14ac:dyDescent="0.3">
      <c r="A69" s="115"/>
      <c r="B69" s="118"/>
      <c r="C69" s="62" t="s">
        <v>96</v>
      </c>
      <c r="D69" s="146"/>
      <c r="E69" s="62" t="s">
        <v>117</v>
      </c>
      <c r="F69" s="146"/>
      <c r="G69" s="62" t="s">
        <v>98</v>
      </c>
      <c r="H69" s="146"/>
      <c r="I69" s="62"/>
      <c r="J69" s="146"/>
      <c r="K69" s="102" t="s">
        <v>60</v>
      </c>
      <c r="L69" s="153"/>
    </row>
    <row r="70" spans="1:12" ht="25.5" customHeight="1" x14ac:dyDescent="0.3">
      <c r="A70" s="115">
        <v>4</v>
      </c>
      <c r="B70" s="118" t="s">
        <v>26</v>
      </c>
      <c r="C70" s="62"/>
      <c r="D70" s="146"/>
      <c r="E70" s="62"/>
      <c r="F70" s="146"/>
      <c r="G70" s="62"/>
      <c r="H70" s="146"/>
      <c r="I70" s="62"/>
      <c r="J70" s="146"/>
      <c r="K70" s="22" t="s">
        <v>57</v>
      </c>
      <c r="L70" s="153" t="s">
        <v>92</v>
      </c>
    </row>
    <row r="71" spans="1:12" ht="80.099999999999994" customHeight="1" x14ac:dyDescent="0.3">
      <c r="A71" s="115"/>
      <c r="B71" s="118"/>
      <c r="C71" s="62"/>
      <c r="D71" s="146"/>
      <c r="E71" s="62"/>
      <c r="F71" s="146"/>
      <c r="G71" s="62" t="s">
        <v>99</v>
      </c>
      <c r="H71" s="146"/>
      <c r="I71" s="62" t="s">
        <v>103</v>
      </c>
      <c r="J71" s="146"/>
      <c r="K71" s="102" t="s">
        <v>60</v>
      </c>
      <c r="L71" s="153"/>
    </row>
    <row r="72" spans="1:12" ht="25.5" customHeight="1" x14ac:dyDescent="0.3">
      <c r="A72" s="109">
        <v>5</v>
      </c>
      <c r="B72" s="111" t="s">
        <v>27</v>
      </c>
      <c r="C72" s="62"/>
      <c r="D72" s="146"/>
      <c r="E72" s="62"/>
      <c r="F72" s="146"/>
      <c r="G72" s="62"/>
      <c r="H72" s="146"/>
      <c r="I72" s="62"/>
      <c r="J72" s="146"/>
      <c r="K72" s="10" t="s">
        <v>54</v>
      </c>
      <c r="L72" s="151" t="s">
        <v>114</v>
      </c>
    </row>
    <row r="73" spans="1:12" ht="80.099999999999994" customHeight="1" x14ac:dyDescent="0.3">
      <c r="A73" s="110"/>
      <c r="B73" s="111"/>
      <c r="C73" s="62" t="s">
        <v>105</v>
      </c>
      <c r="D73" s="146"/>
      <c r="E73" s="62" t="s">
        <v>118</v>
      </c>
      <c r="F73" s="146"/>
      <c r="G73" s="62" t="s">
        <v>100</v>
      </c>
      <c r="H73" s="146"/>
      <c r="I73" s="62"/>
      <c r="J73" s="146"/>
      <c r="K73" s="10" t="s">
        <v>106</v>
      </c>
      <c r="L73" s="152"/>
    </row>
    <row r="74" spans="1:12" ht="25.5" customHeight="1" x14ac:dyDescent="0.3">
      <c r="A74" s="109">
        <v>6</v>
      </c>
      <c r="B74" s="111" t="s">
        <v>28</v>
      </c>
      <c r="C74" s="62"/>
      <c r="D74" s="146"/>
      <c r="E74" s="62"/>
      <c r="F74" s="146"/>
      <c r="G74" s="62"/>
      <c r="H74" s="146"/>
      <c r="I74" s="62"/>
      <c r="J74" s="146"/>
      <c r="K74" s="10" t="s">
        <v>54</v>
      </c>
      <c r="L74" s="151" t="s">
        <v>114</v>
      </c>
    </row>
    <row r="75" spans="1:12" ht="80.099999999999994" customHeight="1" x14ac:dyDescent="0.3">
      <c r="A75" s="110"/>
      <c r="B75" s="111"/>
      <c r="C75" s="62"/>
      <c r="D75" s="146"/>
      <c r="E75" s="62" t="s">
        <v>119</v>
      </c>
      <c r="F75" s="146"/>
      <c r="G75" s="62" t="s">
        <v>101</v>
      </c>
      <c r="H75" s="146"/>
      <c r="I75" s="62" t="s">
        <v>104</v>
      </c>
      <c r="J75" s="146"/>
      <c r="K75" s="10" t="s">
        <v>106</v>
      </c>
      <c r="L75" s="152"/>
    </row>
    <row r="76" spans="1:12" ht="25.5" customHeight="1" x14ac:dyDescent="0.3">
      <c r="A76" s="109">
        <v>7</v>
      </c>
      <c r="B76" s="111" t="s">
        <v>29</v>
      </c>
      <c r="C76" s="62"/>
      <c r="D76" s="146"/>
      <c r="E76" s="62"/>
      <c r="F76" s="146"/>
      <c r="G76" s="62"/>
      <c r="H76" s="146"/>
      <c r="I76" s="62"/>
      <c r="J76" s="146"/>
      <c r="K76" s="10" t="s">
        <v>54</v>
      </c>
      <c r="L76" s="151" t="s">
        <v>114</v>
      </c>
    </row>
    <row r="77" spans="1:12" ht="80.099999999999994" customHeight="1" x14ac:dyDescent="0.3">
      <c r="A77" s="110"/>
      <c r="B77" s="111"/>
      <c r="C77" s="62"/>
      <c r="D77" s="146"/>
      <c r="E77" s="62"/>
      <c r="F77" s="146"/>
      <c r="G77" s="62"/>
      <c r="H77" s="146"/>
      <c r="I77" s="62"/>
      <c r="J77" s="146"/>
      <c r="K77" s="10" t="s">
        <v>106</v>
      </c>
      <c r="L77" s="152"/>
    </row>
    <row r="78" spans="1:12" ht="25.5" customHeight="1" x14ac:dyDescent="0.3">
      <c r="A78" s="109">
        <v>8</v>
      </c>
      <c r="B78" s="111" t="s">
        <v>40</v>
      </c>
      <c r="C78" s="62"/>
      <c r="D78" s="146"/>
      <c r="E78" s="62"/>
      <c r="F78" s="146"/>
      <c r="G78" s="62"/>
      <c r="H78" s="146"/>
      <c r="I78" s="62"/>
      <c r="J78" s="146"/>
      <c r="K78" s="10" t="s">
        <v>54</v>
      </c>
      <c r="L78" s="151" t="s">
        <v>114</v>
      </c>
    </row>
    <row r="79" spans="1:12" ht="80.099999999999994" customHeight="1" x14ac:dyDescent="0.3">
      <c r="A79" s="110"/>
      <c r="B79" s="111"/>
      <c r="C79" s="62"/>
      <c r="D79" s="146"/>
      <c r="E79" s="62"/>
      <c r="F79" s="146"/>
      <c r="G79" s="62"/>
      <c r="H79" s="146"/>
      <c r="I79" s="62"/>
      <c r="J79" s="146"/>
      <c r="K79" s="10" t="s">
        <v>106</v>
      </c>
      <c r="L79" s="152"/>
    </row>
    <row r="80" spans="1:12" ht="27" customHeight="1" x14ac:dyDescent="0.3">
      <c r="A80" s="126" t="s">
        <v>12</v>
      </c>
      <c r="B80" s="126" t="s">
        <v>13</v>
      </c>
      <c r="C80" s="124" t="s">
        <v>14</v>
      </c>
      <c r="D80" s="124"/>
      <c r="E80" s="124" t="s">
        <v>15</v>
      </c>
      <c r="F80" s="124"/>
      <c r="G80" s="124" t="s">
        <v>16</v>
      </c>
      <c r="H80" s="124"/>
      <c r="I80" s="124" t="s">
        <v>17</v>
      </c>
      <c r="J80" s="124"/>
      <c r="K80" s="124" t="s">
        <v>18</v>
      </c>
      <c r="L80" s="124"/>
    </row>
    <row r="81" spans="1:12" ht="27" customHeight="1" thickBot="1" x14ac:dyDescent="0.35">
      <c r="A81" s="127"/>
      <c r="B81" s="127"/>
      <c r="C81" s="125">
        <f>K63+3</f>
        <v>45943</v>
      </c>
      <c r="D81" s="125"/>
      <c r="E81" s="125">
        <f>C81+1</f>
        <v>45944</v>
      </c>
      <c r="F81" s="125"/>
      <c r="G81" s="125">
        <f>E81+1</f>
        <v>45945</v>
      </c>
      <c r="H81" s="125"/>
      <c r="I81" s="125">
        <f>G81+1</f>
        <v>45946</v>
      </c>
      <c r="J81" s="125"/>
      <c r="K81" s="125">
        <f>I81+1</f>
        <v>45947</v>
      </c>
      <c r="L81" s="125"/>
    </row>
    <row r="82" spans="1:12" ht="25.5" customHeight="1" thickTop="1" x14ac:dyDescent="0.3">
      <c r="A82" s="109">
        <v>1</v>
      </c>
      <c r="B82" s="119" t="s">
        <v>23</v>
      </c>
      <c r="C82" s="22" t="s">
        <v>57</v>
      </c>
      <c r="D82" s="153" t="s">
        <v>92</v>
      </c>
      <c r="E82" s="22" t="s">
        <v>57</v>
      </c>
      <c r="F82" s="153" t="s">
        <v>92</v>
      </c>
      <c r="G82" s="22" t="s">
        <v>57</v>
      </c>
      <c r="H82" s="153" t="s">
        <v>92</v>
      </c>
      <c r="I82" s="22" t="s">
        <v>57</v>
      </c>
      <c r="J82" s="153" t="s">
        <v>92</v>
      </c>
      <c r="K82" s="43" t="s">
        <v>58</v>
      </c>
      <c r="L82" s="150" t="s">
        <v>92</v>
      </c>
    </row>
    <row r="83" spans="1:12" ht="80.099999999999994" customHeight="1" x14ac:dyDescent="0.3">
      <c r="A83" s="110"/>
      <c r="B83" s="120"/>
      <c r="C83" s="102" t="s">
        <v>60</v>
      </c>
      <c r="D83" s="153"/>
      <c r="E83" s="102" t="s">
        <v>60</v>
      </c>
      <c r="F83" s="153"/>
      <c r="G83" s="102" t="s">
        <v>60</v>
      </c>
      <c r="H83" s="153"/>
      <c r="I83" s="102" t="s">
        <v>60</v>
      </c>
      <c r="J83" s="153"/>
      <c r="K83" s="43" t="s">
        <v>59</v>
      </c>
      <c r="L83" s="150"/>
    </row>
    <row r="84" spans="1:12" ht="25.5" customHeight="1" x14ac:dyDescent="0.3">
      <c r="A84" s="115">
        <v>2</v>
      </c>
      <c r="B84" s="118" t="s">
        <v>24</v>
      </c>
      <c r="C84" s="22" t="s">
        <v>57</v>
      </c>
      <c r="D84" s="153" t="s">
        <v>92</v>
      </c>
      <c r="E84" s="22" t="s">
        <v>57</v>
      </c>
      <c r="F84" s="153" t="s">
        <v>92</v>
      </c>
      <c r="G84" s="22" t="s">
        <v>57</v>
      </c>
      <c r="H84" s="153" t="s">
        <v>92</v>
      </c>
      <c r="I84" s="22" t="s">
        <v>57</v>
      </c>
      <c r="J84" s="153" t="s">
        <v>92</v>
      </c>
      <c r="K84" s="43" t="s">
        <v>58</v>
      </c>
      <c r="L84" s="150" t="s">
        <v>92</v>
      </c>
    </row>
    <row r="85" spans="1:12" ht="80.099999999999994" customHeight="1" x14ac:dyDescent="0.3">
      <c r="A85" s="115"/>
      <c r="B85" s="118"/>
      <c r="C85" s="102" t="s">
        <v>60</v>
      </c>
      <c r="D85" s="153"/>
      <c r="E85" s="102" t="s">
        <v>60</v>
      </c>
      <c r="F85" s="153"/>
      <c r="G85" s="102" t="s">
        <v>60</v>
      </c>
      <c r="H85" s="153"/>
      <c r="I85" s="102" t="s">
        <v>60</v>
      </c>
      <c r="J85" s="153"/>
      <c r="K85" s="43" t="s">
        <v>59</v>
      </c>
      <c r="L85" s="150"/>
    </row>
    <row r="86" spans="1:12" ht="25.5" customHeight="1" x14ac:dyDescent="0.3">
      <c r="A86" s="115">
        <v>3</v>
      </c>
      <c r="B86" s="118" t="s">
        <v>25</v>
      </c>
      <c r="C86" s="22" t="s">
        <v>57</v>
      </c>
      <c r="D86" s="153" t="s">
        <v>92</v>
      </c>
      <c r="E86" s="22" t="s">
        <v>57</v>
      </c>
      <c r="F86" s="153" t="s">
        <v>92</v>
      </c>
      <c r="G86" s="22" t="s">
        <v>57</v>
      </c>
      <c r="H86" s="153" t="s">
        <v>92</v>
      </c>
      <c r="I86" s="22" t="s">
        <v>57</v>
      </c>
      <c r="J86" s="153" t="s">
        <v>92</v>
      </c>
      <c r="K86" s="43" t="s">
        <v>58</v>
      </c>
      <c r="L86" s="150" t="s">
        <v>92</v>
      </c>
    </row>
    <row r="87" spans="1:12" ht="80.099999999999994" customHeight="1" x14ac:dyDescent="0.3">
      <c r="A87" s="115"/>
      <c r="B87" s="118"/>
      <c r="C87" s="102" t="s">
        <v>60</v>
      </c>
      <c r="D87" s="153"/>
      <c r="E87" s="102" t="s">
        <v>60</v>
      </c>
      <c r="F87" s="153"/>
      <c r="G87" s="102" t="s">
        <v>60</v>
      </c>
      <c r="H87" s="153"/>
      <c r="I87" s="102" t="s">
        <v>60</v>
      </c>
      <c r="J87" s="153"/>
      <c r="K87" s="43" t="s">
        <v>59</v>
      </c>
      <c r="L87" s="150"/>
    </row>
    <row r="88" spans="1:12" ht="25.5" customHeight="1" x14ac:dyDescent="0.3">
      <c r="A88" s="115">
        <v>4</v>
      </c>
      <c r="B88" s="118" t="s">
        <v>26</v>
      </c>
      <c r="C88" s="22" t="s">
        <v>57</v>
      </c>
      <c r="D88" s="153" t="s">
        <v>92</v>
      </c>
      <c r="E88" s="22" t="s">
        <v>57</v>
      </c>
      <c r="F88" s="153" t="s">
        <v>92</v>
      </c>
      <c r="G88" s="22" t="s">
        <v>57</v>
      </c>
      <c r="H88" s="153" t="s">
        <v>92</v>
      </c>
      <c r="I88" s="22" t="s">
        <v>57</v>
      </c>
      <c r="J88" s="153" t="s">
        <v>92</v>
      </c>
      <c r="K88" s="43" t="s">
        <v>58</v>
      </c>
      <c r="L88" s="150" t="s">
        <v>92</v>
      </c>
    </row>
    <row r="89" spans="1:12" ht="80.099999999999994" customHeight="1" x14ac:dyDescent="0.3">
      <c r="A89" s="115"/>
      <c r="B89" s="118"/>
      <c r="C89" s="102" t="s">
        <v>60</v>
      </c>
      <c r="D89" s="153"/>
      <c r="E89" s="102" t="s">
        <v>60</v>
      </c>
      <c r="F89" s="153"/>
      <c r="G89" s="102" t="s">
        <v>60</v>
      </c>
      <c r="H89" s="153"/>
      <c r="I89" s="102" t="s">
        <v>60</v>
      </c>
      <c r="J89" s="153"/>
      <c r="K89" s="43" t="s">
        <v>59</v>
      </c>
      <c r="L89" s="150"/>
    </row>
    <row r="90" spans="1:12" ht="25.5" customHeight="1" x14ac:dyDescent="0.3">
      <c r="A90" s="109">
        <v>5</v>
      </c>
      <c r="B90" s="111" t="s">
        <v>27</v>
      </c>
      <c r="C90" s="10" t="s">
        <v>54</v>
      </c>
      <c r="D90" s="151" t="s">
        <v>114</v>
      </c>
      <c r="E90" s="10" t="s">
        <v>54</v>
      </c>
      <c r="F90" s="151" t="s">
        <v>114</v>
      </c>
      <c r="G90" s="10" t="s">
        <v>54</v>
      </c>
      <c r="H90" s="151" t="s">
        <v>114</v>
      </c>
      <c r="I90" s="10" t="s">
        <v>54</v>
      </c>
      <c r="J90" s="151" t="s">
        <v>114</v>
      </c>
      <c r="K90" s="10" t="s">
        <v>54</v>
      </c>
      <c r="L90" s="151" t="s">
        <v>114</v>
      </c>
    </row>
    <row r="91" spans="1:12" ht="80.099999999999994" customHeight="1" x14ac:dyDescent="0.3">
      <c r="A91" s="110"/>
      <c r="B91" s="111"/>
      <c r="C91" s="10" t="s">
        <v>106</v>
      </c>
      <c r="D91" s="152"/>
      <c r="E91" s="10" t="s">
        <v>106</v>
      </c>
      <c r="F91" s="152"/>
      <c r="G91" s="10" t="s">
        <v>106</v>
      </c>
      <c r="H91" s="152"/>
      <c r="I91" s="10" t="s">
        <v>106</v>
      </c>
      <c r="J91" s="152"/>
      <c r="K91" s="10" t="s">
        <v>106</v>
      </c>
      <c r="L91" s="152"/>
    </row>
    <row r="92" spans="1:12" ht="25.5" customHeight="1" x14ac:dyDescent="0.3">
      <c r="A92" s="109">
        <v>6</v>
      </c>
      <c r="B92" s="111" t="s">
        <v>28</v>
      </c>
      <c r="C92" s="10" t="s">
        <v>54</v>
      </c>
      <c r="D92" s="151" t="s">
        <v>114</v>
      </c>
      <c r="E92" s="10" t="s">
        <v>54</v>
      </c>
      <c r="F92" s="151" t="s">
        <v>114</v>
      </c>
      <c r="G92" s="10" t="s">
        <v>54</v>
      </c>
      <c r="H92" s="151" t="s">
        <v>114</v>
      </c>
      <c r="I92" s="10" t="s">
        <v>54</v>
      </c>
      <c r="J92" s="151" t="s">
        <v>114</v>
      </c>
      <c r="K92" s="10" t="s">
        <v>54</v>
      </c>
      <c r="L92" s="151" t="s">
        <v>114</v>
      </c>
    </row>
    <row r="93" spans="1:12" ht="80.099999999999994" customHeight="1" x14ac:dyDescent="0.3">
      <c r="A93" s="110"/>
      <c r="B93" s="111"/>
      <c r="C93" s="10" t="s">
        <v>106</v>
      </c>
      <c r="D93" s="152"/>
      <c r="E93" s="10" t="s">
        <v>106</v>
      </c>
      <c r="F93" s="152"/>
      <c r="G93" s="10" t="s">
        <v>106</v>
      </c>
      <c r="H93" s="152"/>
      <c r="I93" s="10" t="s">
        <v>106</v>
      </c>
      <c r="J93" s="152"/>
      <c r="K93" s="10" t="s">
        <v>106</v>
      </c>
      <c r="L93" s="152"/>
    </row>
    <row r="94" spans="1:12" ht="25.5" customHeight="1" x14ac:dyDescent="0.3">
      <c r="A94" s="109">
        <v>7</v>
      </c>
      <c r="B94" s="111" t="s">
        <v>29</v>
      </c>
      <c r="C94" s="10" t="s">
        <v>54</v>
      </c>
      <c r="D94" s="151" t="s">
        <v>114</v>
      </c>
      <c r="E94" s="10" t="s">
        <v>54</v>
      </c>
      <c r="F94" s="151" t="s">
        <v>114</v>
      </c>
      <c r="G94" s="10" t="s">
        <v>54</v>
      </c>
      <c r="H94" s="151" t="s">
        <v>114</v>
      </c>
      <c r="I94" s="10" t="s">
        <v>54</v>
      </c>
      <c r="J94" s="151" t="s">
        <v>114</v>
      </c>
      <c r="K94" s="10" t="s">
        <v>54</v>
      </c>
      <c r="L94" s="151" t="s">
        <v>114</v>
      </c>
    </row>
    <row r="95" spans="1:12" ht="80.099999999999994" customHeight="1" x14ac:dyDescent="0.3">
      <c r="A95" s="110"/>
      <c r="B95" s="111"/>
      <c r="C95" s="10" t="s">
        <v>106</v>
      </c>
      <c r="D95" s="152"/>
      <c r="E95" s="10" t="s">
        <v>106</v>
      </c>
      <c r="F95" s="152"/>
      <c r="G95" s="10" t="s">
        <v>106</v>
      </c>
      <c r="H95" s="152"/>
      <c r="I95" s="10" t="s">
        <v>106</v>
      </c>
      <c r="J95" s="152"/>
      <c r="K95" s="10" t="s">
        <v>106</v>
      </c>
      <c r="L95" s="152"/>
    </row>
    <row r="96" spans="1:12" ht="25.5" customHeight="1" x14ac:dyDescent="0.3">
      <c r="A96" s="109">
        <v>8</v>
      </c>
      <c r="B96" s="111" t="s">
        <v>40</v>
      </c>
      <c r="C96" s="10" t="s">
        <v>54</v>
      </c>
      <c r="D96" s="151" t="s">
        <v>114</v>
      </c>
      <c r="E96" s="10" t="s">
        <v>54</v>
      </c>
      <c r="F96" s="151" t="s">
        <v>114</v>
      </c>
      <c r="G96" s="10" t="s">
        <v>54</v>
      </c>
      <c r="H96" s="151" t="s">
        <v>114</v>
      </c>
      <c r="I96" s="10" t="s">
        <v>54</v>
      </c>
      <c r="J96" s="151" t="s">
        <v>114</v>
      </c>
      <c r="K96" s="10" t="s">
        <v>54</v>
      </c>
      <c r="L96" s="151" t="s">
        <v>114</v>
      </c>
    </row>
    <row r="97" spans="1:12" ht="80.099999999999994" customHeight="1" x14ac:dyDescent="0.3">
      <c r="A97" s="110"/>
      <c r="B97" s="111"/>
      <c r="C97" s="10" t="s">
        <v>106</v>
      </c>
      <c r="D97" s="152"/>
      <c r="E97" s="10" t="s">
        <v>106</v>
      </c>
      <c r="F97" s="152"/>
      <c r="G97" s="10" t="s">
        <v>106</v>
      </c>
      <c r="H97" s="152"/>
      <c r="I97" s="10" t="s">
        <v>106</v>
      </c>
      <c r="J97" s="152"/>
      <c r="K97" s="10" t="s">
        <v>106</v>
      </c>
      <c r="L97" s="152"/>
    </row>
    <row r="98" spans="1:12" ht="27" customHeight="1" x14ac:dyDescent="0.3">
      <c r="A98" s="126" t="s">
        <v>12</v>
      </c>
      <c r="B98" s="126" t="s">
        <v>13</v>
      </c>
      <c r="C98" s="124" t="s">
        <v>14</v>
      </c>
      <c r="D98" s="124"/>
      <c r="E98" s="124" t="s">
        <v>15</v>
      </c>
      <c r="F98" s="124"/>
      <c r="G98" s="124" t="s">
        <v>16</v>
      </c>
      <c r="H98" s="124"/>
      <c r="I98" s="124" t="s">
        <v>17</v>
      </c>
      <c r="J98" s="124"/>
      <c r="K98" s="124" t="s">
        <v>18</v>
      </c>
      <c r="L98" s="124"/>
    </row>
    <row r="99" spans="1:12" ht="27" customHeight="1" thickBot="1" x14ac:dyDescent="0.35">
      <c r="A99" s="127"/>
      <c r="B99" s="127"/>
      <c r="C99" s="125">
        <f>K81+3</f>
        <v>45950</v>
      </c>
      <c r="D99" s="125"/>
      <c r="E99" s="125">
        <f>C99+1</f>
        <v>45951</v>
      </c>
      <c r="F99" s="125"/>
      <c r="G99" s="125">
        <f>E99+1</f>
        <v>45952</v>
      </c>
      <c r="H99" s="125"/>
      <c r="I99" s="125">
        <f>G99+1</f>
        <v>45953</v>
      </c>
      <c r="J99" s="125"/>
      <c r="K99" s="125">
        <f>I99+1</f>
        <v>45954</v>
      </c>
      <c r="L99" s="125"/>
    </row>
    <row r="100" spans="1:12" ht="25.5" customHeight="1" thickTop="1" x14ac:dyDescent="0.3">
      <c r="A100" s="109">
        <v>1</v>
      </c>
      <c r="B100" s="119" t="s">
        <v>23</v>
      </c>
      <c r="C100" s="43" t="s">
        <v>58</v>
      </c>
      <c r="D100" s="150" t="s">
        <v>92</v>
      </c>
      <c r="E100" s="43" t="s">
        <v>58</v>
      </c>
      <c r="F100" s="150" t="s">
        <v>92</v>
      </c>
      <c r="G100" s="43" t="s">
        <v>58</v>
      </c>
      <c r="H100" s="150" t="s">
        <v>92</v>
      </c>
      <c r="I100" s="43" t="s">
        <v>58</v>
      </c>
      <c r="J100" s="150" t="s">
        <v>92</v>
      </c>
      <c r="K100" s="43" t="s">
        <v>58</v>
      </c>
      <c r="L100" s="150" t="s">
        <v>92</v>
      </c>
    </row>
    <row r="101" spans="1:12" ht="80.099999999999994" customHeight="1" x14ac:dyDescent="0.3">
      <c r="A101" s="110"/>
      <c r="B101" s="120"/>
      <c r="C101" s="43" t="s">
        <v>59</v>
      </c>
      <c r="D101" s="150"/>
      <c r="E101" s="43" t="s">
        <v>59</v>
      </c>
      <c r="F101" s="150"/>
      <c r="G101" s="43" t="s">
        <v>59</v>
      </c>
      <c r="H101" s="150"/>
      <c r="I101" s="43" t="s">
        <v>59</v>
      </c>
      <c r="J101" s="150"/>
      <c r="K101" s="43" t="s">
        <v>59</v>
      </c>
      <c r="L101" s="150"/>
    </row>
    <row r="102" spans="1:12" ht="25.5" customHeight="1" x14ac:dyDescent="0.3">
      <c r="A102" s="115">
        <v>2</v>
      </c>
      <c r="B102" s="118" t="s">
        <v>24</v>
      </c>
      <c r="C102" s="43" t="s">
        <v>58</v>
      </c>
      <c r="D102" s="150" t="s">
        <v>92</v>
      </c>
      <c r="E102" s="43" t="s">
        <v>58</v>
      </c>
      <c r="F102" s="150" t="s">
        <v>92</v>
      </c>
      <c r="G102" s="43" t="s">
        <v>58</v>
      </c>
      <c r="H102" s="150" t="s">
        <v>92</v>
      </c>
      <c r="I102" s="43" t="s">
        <v>58</v>
      </c>
      <c r="J102" s="150" t="s">
        <v>92</v>
      </c>
      <c r="K102" s="43" t="s">
        <v>58</v>
      </c>
      <c r="L102" s="150" t="s">
        <v>92</v>
      </c>
    </row>
    <row r="103" spans="1:12" ht="80.099999999999994" customHeight="1" x14ac:dyDescent="0.3">
      <c r="A103" s="115"/>
      <c r="B103" s="118"/>
      <c r="C103" s="43" t="s">
        <v>59</v>
      </c>
      <c r="D103" s="150"/>
      <c r="E103" s="43" t="s">
        <v>59</v>
      </c>
      <c r="F103" s="150"/>
      <c r="G103" s="43" t="s">
        <v>59</v>
      </c>
      <c r="H103" s="150"/>
      <c r="I103" s="43" t="s">
        <v>59</v>
      </c>
      <c r="J103" s="150"/>
      <c r="K103" s="43" t="s">
        <v>59</v>
      </c>
      <c r="L103" s="150"/>
    </row>
    <row r="104" spans="1:12" ht="25.5" customHeight="1" x14ac:dyDescent="0.3">
      <c r="A104" s="115">
        <v>3</v>
      </c>
      <c r="B104" s="118" t="s">
        <v>25</v>
      </c>
      <c r="C104" s="43" t="s">
        <v>58</v>
      </c>
      <c r="D104" s="150" t="s">
        <v>92</v>
      </c>
      <c r="E104" s="43" t="s">
        <v>58</v>
      </c>
      <c r="F104" s="150" t="s">
        <v>92</v>
      </c>
      <c r="G104" s="43" t="s">
        <v>58</v>
      </c>
      <c r="H104" s="150" t="s">
        <v>92</v>
      </c>
      <c r="I104" s="43" t="s">
        <v>58</v>
      </c>
      <c r="J104" s="150" t="s">
        <v>92</v>
      </c>
      <c r="K104" s="43" t="s">
        <v>58</v>
      </c>
      <c r="L104" s="150" t="s">
        <v>92</v>
      </c>
    </row>
    <row r="105" spans="1:12" ht="80.099999999999994" customHeight="1" x14ac:dyDescent="0.3">
      <c r="A105" s="115"/>
      <c r="B105" s="118"/>
      <c r="C105" s="43" t="s">
        <v>59</v>
      </c>
      <c r="D105" s="150"/>
      <c r="E105" s="43" t="s">
        <v>59</v>
      </c>
      <c r="F105" s="150"/>
      <c r="G105" s="43" t="s">
        <v>59</v>
      </c>
      <c r="H105" s="150"/>
      <c r="I105" s="43" t="s">
        <v>59</v>
      </c>
      <c r="J105" s="150"/>
      <c r="K105" s="43" t="s">
        <v>59</v>
      </c>
      <c r="L105" s="150"/>
    </row>
    <row r="106" spans="1:12" ht="25.5" customHeight="1" x14ac:dyDescent="0.3">
      <c r="A106" s="115">
        <v>4</v>
      </c>
      <c r="B106" s="118" t="s">
        <v>26</v>
      </c>
      <c r="C106" s="43" t="s">
        <v>58</v>
      </c>
      <c r="D106" s="150" t="s">
        <v>92</v>
      </c>
      <c r="E106" s="43" t="s">
        <v>58</v>
      </c>
      <c r="F106" s="150" t="s">
        <v>92</v>
      </c>
      <c r="G106" s="43" t="s">
        <v>58</v>
      </c>
      <c r="H106" s="150" t="s">
        <v>92</v>
      </c>
      <c r="I106" s="43" t="s">
        <v>58</v>
      </c>
      <c r="J106" s="150" t="s">
        <v>92</v>
      </c>
      <c r="K106" s="43" t="s">
        <v>58</v>
      </c>
      <c r="L106" s="150" t="s">
        <v>92</v>
      </c>
    </row>
    <row r="107" spans="1:12" ht="80.099999999999994" customHeight="1" x14ac:dyDescent="0.3">
      <c r="A107" s="115"/>
      <c r="B107" s="118"/>
      <c r="C107" s="43" t="s">
        <v>59</v>
      </c>
      <c r="D107" s="150"/>
      <c r="E107" s="43" t="s">
        <v>59</v>
      </c>
      <c r="F107" s="150"/>
      <c r="G107" s="43" t="s">
        <v>59</v>
      </c>
      <c r="H107" s="150"/>
      <c r="I107" s="43" t="s">
        <v>59</v>
      </c>
      <c r="J107" s="150"/>
      <c r="K107" s="43" t="s">
        <v>59</v>
      </c>
      <c r="L107" s="150"/>
    </row>
    <row r="108" spans="1:12" ht="25.5" customHeight="1" x14ac:dyDescent="0.3">
      <c r="A108" s="109">
        <v>5</v>
      </c>
      <c r="B108" s="111" t="s">
        <v>27</v>
      </c>
      <c r="C108" s="43" t="s">
        <v>58</v>
      </c>
      <c r="D108" s="143" t="s">
        <v>91</v>
      </c>
      <c r="E108" s="10" t="s">
        <v>54</v>
      </c>
      <c r="F108" s="151" t="s">
        <v>114</v>
      </c>
      <c r="G108" s="10" t="s">
        <v>54</v>
      </c>
      <c r="H108" s="151" t="s">
        <v>114</v>
      </c>
      <c r="I108" s="28" t="s">
        <v>70</v>
      </c>
      <c r="J108" s="145" t="s">
        <v>107</v>
      </c>
      <c r="K108" s="28" t="s">
        <v>70</v>
      </c>
      <c r="L108" s="145" t="s">
        <v>107</v>
      </c>
    </row>
    <row r="109" spans="1:12" ht="80.099999999999994" customHeight="1" x14ac:dyDescent="0.3">
      <c r="A109" s="110"/>
      <c r="B109" s="111"/>
      <c r="C109" s="43" t="s">
        <v>59</v>
      </c>
      <c r="D109" s="143"/>
      <c r="E109" s="10" t="s">
        <v>106</v>
      </c>
      <c r="F109" s="152"/>
      <c r="G109" s="10" t="s">
        <v>106</v>
      </c>
      <c r="H109" s="152"/>
      <c r="I109" s="103" t="s">
        <v>72</v>
      </c>
      <c r="J109" s="145"/>
      <c r="K109" s="103" t="s">
        <v>72</v>
      </c>
      <c r="L109" s="145"/>
    </row>
    <row r="110" spans="1:12" ht="25.5" customHeight="1" x14ac:dyDescent="0.3">
      <c r="A110" s="109">
        <v>6</v>
      </c>
      <c r="B110" s="111" t="s">
        <v>28</v>
      </c>
      <c r="C110" s="43" t="s">
        <v>58</v>
      </c>
      <c r="D110" s="143" t="s">
        <v>91</v>
      </c>
      <c r="E110" s="10" t="s">
        <v>54</v>
      </c>
      <c r="F110" s="151" t="s">
        <v>114</v>
      </c>
      <c r="G110" s="10" t="s">
        <v>54</v>
      </c>
      <c r="H110" s="151" t="s">
        <v>114</v>
      </c>
      <c r="I110" s="28" t="s">
        <v>70</v>
      </c>
      <c r="J110" s="145" t="s">
        <v>107</v>
      </c>
      <c r="K110" s="28" t="s">
        <v>70</v>
      </c>
      <c r="L110" s="145" t="s">
        <v>107</v>
      </c>
    </row>
    <row r="111" spans="1:12" ht="80.099999999999994" customHeight="1" x14ac:dyDescent="0.3">
      <c r="A111" s="110"/>
      <c r="B111" s="111"/>
      <c r="C111" s="43" t="s">
        <v>59</v>
      </c>
      <c r="D111" s="143"/>
      <c r="E111" s="10" t="s">
        <v>106</v>
      </c>
      <c r="F111" s="152"/>
      <c r="G111" s="10" t="s">
        <v>106</v>
      </c>
      <c r="H111" s="152"/>
      <c r="I111" s="103" t="s">
        <v>72</v>
      </c>
      <c r="J111" s="145"/>
      <c r="K111" s="103" t="s">
        <v>72</v>
      </c>
      <c r="L111" s="145"/>
    </row>
    <row r="112" spans="1:12" ht="25.5" customHeight="1" x14ac:dyDescent="0.3">
      <c r="A112" s="109">
        <v>7</v>
      </c>
      <c r="B112" s="111" t="s">
        <v>29</v>
      </c>
      <c r="C112" s="43" t="s">
        <v>58</v>
      </c>
      <c r="D112" s="143" t="s">
        <v>91</v>
      </c>
      <c r="E112" s="10" t="s">
        <v>54</v>
      </c>
      <c r="F112" s="151" t="s">
        <v>114</v>
      </c>
      <c r="G112" s="10" t="s">
        <v>54</v>
      </c>
      <c r="H112" s="151" t="s">
        <v>114</v>
      </c>
      <c r="I112" s="28" t="s">
        <v>70</v>
      </c>
      <c r="J112" s="145" t="s">
        <v>107</v>
      </c>
      <c r="K112" s="28" t="s">
        <v>70</v>
      </c>
      <c r="L112" s="145" t="s">
        <v>107</v>
      </c>
    </row>
    <row r="113" spans="1:12" ht="80.099999999999994" customHeight="1" x14ac:dyDescent="0.3">
      <c r="A113" s="110"/>
      <c r="B113" s="111"/>
      <c r="C113" s="43" t="s">
        <v>59</v>
      </c>
      <c r="D113" s="143"/>
      <c r="E113" s="10" t="s">
        <v>106</v>
      </c>
      <c r="F113" s="152"/>
      <c r="G113" s="10" t="s">
        <v>106</v>
      </c>
      <c r="H113" s="152"/>
      <c r="I113" s="103" t="s">
        <v>72</v>
      </c>
      <c r="J113" s="145"/>
      <c r="K113" s="103" t="s">
        <v>72</v>
      </c>
      <c r="L113" s="145"/>
    </row>
    <row r="114" spans="1:12" ht="25.5" customHeight="1" x14ac:dyDescent="0.3">
      <c r="A114" s="109">
        <v>8</v>
      </c>
      <c r="B114" s="111" t="s">
        <v>40</v>
      </c>
      <c r="C114" s="43" t="s">
        <v>58</v>
      </c>
      <c r="D114" s="143" t="s">
        <v>91</v>
      </c>
      <c r="E114" s="10" t="s">
        <v>54</v>
      </c>
      <c r="F114" s="151" t="s">
        <v>114</v>
      </c>
      <c r="G114" s="28" t="s">
        <v>70</v>
      </c>
      <c r="H114" s="145" t="s">
        <v>107</v>
      </c>
      <c r="I114" s="28" t="s">
        <v>70</v>
      </c>
      <c r="J114" s="145" t="s">
        <v>107</v>
      </c>
      <c r="K114" s="28" t="s">
        <v>70</v>
      </c>
      <c r="L114" s="145" t="s">
        <v>107</v>
      </c>
    </row>
    <row r="115" spans="1:12" ht="80.099999999999994" customHeight="1" x14ac:dyDescent="0.3">
      <c r="A115" s="110"/>
      <c r="B115" s="111"/>
      <c r="C115" s="43" t="s">
        <v>59</v>
      </c>
      <c r="D115" s="143"/>
      <c r="E115" s="10" t="s">
        <v>106</v>
      </c>
      <c r="F115" s="152"/>
      <c r="G115" s="103" t="s">
        <v>72</v>
      </c>
      <c r="H115" s="145"/>
      <c r="I115" s="103" t="s">
        <v>72</v>
      </c>
      <c r="J115" s="145"/>
      <c r="K115" s="103" t="s">
        <v>72</v>
      </c>
      <c r="L115" s="145"/>
    </row>
    <row r="116" spans="1:12" ht="27" customHeight="1" x14ac:dyDescent="0.3">
      <c r="A116" s="126" t="s">
        <v>12</v>
      </c>
      <c r="B116" s="126" t="s">
        <v>13</v>
      </c>
      <c r="C116" s="124" t="s">
        <v>14</v>
      </c>
      <c r="D116" s="124"/>
      <c r="E116" s="124" t="s">
        <v>15</v>
      </c>
      <c r="F116" s="124"/>
      <c r="G116" s="124" t="s">
        <v>16</v>
      </c>
      <c r="H116" s="124"/>
      <c r="I116" s="124" t="s">
        <v>17</v>
      </c>
      <c r="J116" s="124"/>
      <c r="K116" s="136" t="s">
        <v>18</v>
      </c>
      <c r="L116" s="137"/>
    </row>
    <row r="117" spans="1:12" ht="27" customHeight="1" thickBot="1" x14ac:dyDescent="0.35">
      <c r="A117" s="127"/>
      <c r="B117" s="127"/>
      <c r="C117" s="125">
        <f>K99+3</f>
        <v>45957</v>
      </c>
      <c r="D117" s="125"/>
      <c r="E117" s="125">
        <f>C117+1</f>
        <v>45958</v>
      </c>
      <c r="F117" s="125"/>
      <c r="G117" s="125">
        <f>E117+1</f>
        <v>45959</v>
      </c>
      <c r="H117" s="125"/>
      <c r="I117" s="125">
        <f>G117+1</f>
        <v>45960</v>
      </c>
      <c r="J117" s="125"/>
      <c r="K117" s="138">
        <f>I117+1</f>
        <v>45961</v>
      </c>
      <c r="L117" s="139"/>
    </row>
    <row r="118" spans="1:12" ht="25.5" customHeight="1" thickTop="1" x14ac:dyDescent="0.3">
      <c r="A118" s="109">
        <v>1</v>
      </c>
      <c r="B118" s="119" t="s">
        <v>23</v>
      </c>
      <c r="C118" s="43" t="s">
        <v>58</v>
      </c>
      <c r="D118" s="150" t="s">
        <v>92</v>
      </c>
      <c r="E118" s="43" t="s">
        <v>58</v>
      </c>
      <c r="F118" s="150" t="s">
        <v>92</v>
      </c>
      <c r="G118" s="43" t="s">
        <v>58</v>
      </c>
      <c r="H118" s="150" t="s">
        <v>92</v>
      </c>
      <c r="I118" s="43" t="s">
        <v>58</v>
      </c>
      <c r="J118" s="150" t="s">
        <v>92</v>
      </c>
      <c r="K118" s="43" t="s">
        <v>58</v>
      </c>
      <c r="L118" s="150" t="s">
        <v>92</v>
      </c>
    </row>
    <row r="119" spans="1:12" ht="80.099999999999994" customHeight="1" x14ac:dyDescent="0.3">
      <c r="A119" s="110"/>
      <c r="B119" s="120"/>
      <c r="C119" s="43" t="s">
        <v>59</v>
      </c>
      <c r="D119" s="150"/>
      <c r="E119" s="43" t="s">
        <v>59</v>
      </c>
      <c r="F119" s="150"/>
      <c r="G119" s="43" t="s">
        <v>59</v>
      </c>
      <c r="H119" s="150"/>
      <c r="I119" s="43" t="s">
        <v>59</v>
      </c>
      <c r="J119" s="150"/>
      <c r="K119" s="43" t="s">
        <v>59</v>
      </c>
      <c r="L119" s="150"/>
    </row>
    <row r="120" spans="1:12" ht="25.5" customHeight="1" x14ac:dyDescent="0.3">
      <c r="A120" s="115">
        <v>2</v>
      </c>
      <c r="B120" s="118" t="s">
        <v>24</v>
      </c>
      <c r="C120" s="43" t="s">
        <v>58</v>
      </c>
      <c r="D120" s="150" t="s">
        <v>92</v>
      </c>
      <c r="E120" s="43" t="s">
        <v>58</v>
      </c>
      <c r="F120" s="150" t="s">
        <v>92</v>
      </c>
      <c r="G120" s="43" t="s">
        <v>58</v>
      </c>
      <c r="H120" s="150" t="s">
        <v>92</v>
      </c>
      <c r="I120" s="43" t="s">
        <v>58</v>
      </c>
      <c r="J120" s="150" t="s">
        <v>92</v>
      </c>
      <c r="K120" s="43" t="s">
        <v>58</v>
      </c>
      <c r="L120" s="150" t="s">
        <v>92</v>
      </c>
    </row>
    <row r="121" spans="1:12" ht="80.099999999999994" customHeight="1" x14ac:dyDescent="0.3">
      <c r="A121" s="115"/>
      <c r="B121" s="118"/>
      <c r="C121" s="43" t="s">
        <v>59</v>
      </c>
      <c r="D121" s="150"/>
      <c r="E121" s="43" t="s">
        <v>59</v>
      </c>
      <c r="F121" s="150"/>
      <c r="G121" s="43" t="s">
        <v>59</v>
      </c>
      <c r="H121" s="150"/>
      <c r="I121" s="43" t="s">
        <v>59</v>
      </c>
      <c r="J121" s="150"/>
      <c r="K121" s="43" t="s">
        <v>59</v>
      </c>
      <c r="L121" s="150"/>
    </row>
    <row r="122" spans="1:12" ht="25.5" customHeight="1" x14ac:dyDescent="0.3">
      <c r="A122" s="115">
        <v>3</v>
      </c>
      <c r="B122" s="118" t="s">
        <v>25</v>
      </c>
      <c r="C122" s="43" t="s">
        <v>58</v>
      </c>
      <c r="D122" s="150" t="s">
        <v>92</v>
      </c>
      <c r="E122" s="43" t="s">
        <v>58</v>
      </c>
      <c r="F122" s="150" t="s">
        <v>92</v>
      </c>
      <c r="G122" s="43" t="s">
        <v>58</v>
      </c>
      <c r="H122" s="150" t="s">
        <v>92</v>
      </c>
      <c r="I122" s="43" t="s">
        <v>58</v>
      </c>
      <c r="J122" s="150" t="s">
        <v>92</v>
      </c>
      <c r="K122" s="43" t="s">
        <v>58</v>
      </c>
      <c r="L122" s="150" t="s">
        <v>92</v>
      </c>
    </row>
    <row r="123" spans="1:12" ht="80.099999999999994" customHeight="1" x14ac:dyDescent="0.3">
      <c r="A123" s="115"/>
      <c r="B123" s="118"/>
      <c r="C123" s="43" t="s">
        <v>59</v>
      </c>
      <c r="D123" s="150"/>
      <c r="E123" s="43" t="s">
        <v>59</v>
      </c>
      <c r="F123" s="150"/>
      <c r="G123" s="43" t="s">
        <v>59</v>
      </c>
      <c r="H123" s="150"/>
      <c r="I123" s="43" t="s">
        <v>59</v>
      </c>
      <c r="J123" s="150"/>
      <c r="K123" s="43" t="s">
        <v>59</v>
      </c>
      <c r="L123" s="150"/>
    </row>
    <row r="124" spans="1:12" ht="25.5" customHeight="1" x14ac:dyDescent="0.3">
      <c r="A124" s="115">
        <v>4</v>
      </c>
      <c r="B124" s="118" t="s">
        <v>26</v>
      </c>
      <c r="C124" s="43" t="s">
        <v>58</v>
      </c>
      <c r="D124" s="150" t="s">
        <v>92</v>
      </c>
      <c r="E124" s="43" t="s">
        <v>58</v>
      </c>
      <c r="F124" s="150" t="s">
        <v>92</v>
      </c>
      <c r="G124" s="43" t="s">
        <v>58</v>
      </c>
      <c r="H124" s="150" t="s">
        <v>92</v>
      </c>
      <c r="I124" s="43" t="s">
        <v>58</v>
      </c>
      <c r="J124" s="150" t="s">
        <v>92</v>
      </c>
      <c r="K124" s="43" t="s">
        <v>58</v>
      </c>
      <c r="L124" s="150" t="s">
        <v>92</v>
      </c>
    </row>
    <row r="125" spans="1:12" ht="80.099999999999994" customHeight="1" x14ac:dyDescent="0.3">
      <c r="A125" s="115"/>
      <c r="B125" s="118"/>
      <c r="C125" s="43" t="s">
        <v>59</v>
      </c>
      <c r="D125" s="150"/>
      <c r="E125" s="43" t="s">
        <v>59</v>
      </c>
      <c r="F125" s="150"/>
      <c r="G125" s="43" t="s">
        <v>59</v>
      </c>
      <c r="H125" s="150"/>
      <c r="I125" s="43" t="s">
        <v>59</v>
      </c>
      <c r="J125" s="150"/>
      <c r="K125" s="43" t="s">
        <v>59</v>
      </c>
      <c r="L125" s="150"/>
    </row>
    <row r="126" spans="1:12" ht="25.5" customHeight="1" x14ac:dyDescent="0.3">
      <c r="A126" s="109">
        <v>5</v>
      </c>
      <c r="B126" s="111" t="s">
        <v>27</v>
      </c>
      <c r="C126" s="28" t="s">
        <v>70</v>
      </c>
      <c r="D126" s="145" t="s">
        <v>107</v>
      </c>
      <c r="E126" s="28" t="s">
        <v>70</v>
      </c>
      <c r="F126" s="145" t="s">
        <v>107</v>
      </c>
      <c r="G126" s="28" t="s">
        <v>70</v>
      </c>
      <c r="H126" s="145" t="s">
        <v>107</v>
      </c>
      <c r="I126" s="28" t="s">
        <v>70</v>
      </c>
      <c r="J126" s="145" t="s">
        <v>107</v>
      </c>
      <c r="K126" s="28" t="s">
        <v>70</v>
      </c>
      <c r="L126" s="145" t="s">
        <v>107</v>
      </c>
    </row>
    <row r="127" spans="1:12" ht="80.099999999999994" customHeight="1" x14ac:dyDescent="0.3">
      <c r="A127" s="110"/>
      <c r="B127" s="111"/>
      <c r="C127" s="103" t="s">
        <v>72</v>
      </c>
      <c r="D127" s="145"/>
      <c r="E127" s="103" t="s">
        <v>72</v>
      </c>
      <c r="F127" s="145"/>
      <c r="G127" s="103" t="s">
        <v>72</v>
      </c>
      <c r="H127" s="145"/>
      <c r="I127" s="103" t="s">
        <v>72</v>
      </c>
      <c r="J127" s="145"/>
      <c r="K127" s="103" t="s">
        <v>72</v>
      </c>
      <c r="L127" s="145"/>
    </row>
    <row r="128" spans="1:12" ht="25.5" customHeight="1" x14ac:dyDescent="0.3">
      <c r="A128" s="109">
        <v>6</v>
      </c>
      <c r="B128" s="111" t="s">
        <v>28</v>
      </c>
      <c r="C128" s="28" t="s">
        <v>70</v>
      </c>
      <c r="D128" s="145" t="s">
        <v>107</v>
      </c>
      <c r="E128" s="28" t="s">
        <v>70</v>
      </c>
      <c r="F128" s="145" t="s">
        <v>107</v>
      </c>
      <c r="G128" s="28" t="s">
        <v>70</v>
      </c>
      <c r="H128" s="145" t="s">
        <v>107</v>
      </c>
      <c r="I128" s="28" t="s">
        <v>70</v>
      </c>
      <c r="J128" s="145" t="s">
        <v>107</v>
      </c>
      <c r="K128" s="28" t="s">
        <v>70</v>
      </c>
      <c r="L128" s="145" t="s">
        <v>107</v>
      </c>
    </row>
    <row r="129" spans="1:12" ht="80.099999999999994" customHeight="1" x14ac:dyDescent="0.3">
      <c r="A129" s="110"/>
      <c r="B129" s="111"/>
      <c r="C129" s="103" t="s">
        <v>72</v>
      </c>
      <c r="D129" s="145"/>
      <c r="E129" s="103" t="s">
        <v>72</v>
      </c>
      <c r="F129" s="145"/>
      <c r="G129" s="103" t="s">
        <v>72</v>
      </c>
      <c r="H129" s="145"/>
      <c r="I129" s="103" t="s">
        <v>72</v>
      </c>
      <c r="J129" s="145"/>
      <c r="K129" s="103" t="s">
        <v>72</v>
      </c>
      <c r="L129" s="145"/>
    </row>
    <row r="130" spans="1:12" ht="25.5" customHeight="1" x14ac:dyDescent="0.3">
      <c r="A130" s="109">
        <v>7</v>
      </c>
      <c r="B130" s="111" t="s">
        <v>29</v>
      </c>
      <c r="C130" s="28" t="s">
        <v>70</v>
      </c>
      <c r="D130" s="145" t="s">
        <v>107</v>
      </c>
      <c r="E130" s="28" t="s">
        <v>70</v>
      </c>
      <c r="F130" s="145" t="s">
        <v>107</v>
      </c>
      <c r="G130" s="28" t="s">
        <v>70</v>
      </c>
      <c r="H130" s="145" t="s">
        <v>107</v>
      </c>
      <c r="I130" s="28" t="s">
        <v>70</v>
      </c>
      <c r="J130" s="145" t="s">
        <v>107</v>
      </c>
      <c r="K130" s="28" t="s">
        <v>70</v>
      </c>
      <c r="L130" s="145" t="s">
        <v>107</v>
      </c>
    </row>
    <row r="131" spans="1:12" ht="80.099999999999994" customHeight="1" x14ac:dyDescent="0.3">
      <c r="A131" s="110"/>
      <c r="B131" s="111"/>
      <c r="C131" s="103" t="s">
        <v>72</v>
      </c>
      <c r="D131" s="145"/>
      <c r="E131" s="103" t="s">
        <v>72</v>
      </c>
      <c r="F131" s="145"/>
      <c r="G131" s="103" t="s">
        <v>72</v>
      </c>
      <c r="H131" s="145"/>
      <c r="I131" s="103" t="s">
        <v>72</v>
      </c>
      <c r="J131" s="145"/>
      <c r="K131" s="103" t="s">
        <v>72</v>
      </c>
      <c r="L131" s="145"/>
    </row>
    <row r="132" spans="1:12" ht="25.5" customHeight="1" x14ac:dyDescent="0.3">
      <c r="A132" s="109">
        <v>8</v>
      </c>
      <c r="B132" s="111" t="s">
        <v>40</v>
      </c>
      <c r="C132" s="28" t="s">
        <v>70</v>
      </c>
      <c r="D132" s="145" t="s">
        <v>107</v>
      </c>
      <c r="E132" s="28" t="s">
        <v>70</v>
      </c>
      <c r="F132" s="145" t="s">
        <v>107</v>
      </c>
      <c r="G132" s="28" t="s">
        <v>70</v>
      </c>
      <c r="H132" s="145" t="s">
        <v>107</v>
      </c>
      <c r="I132" s="28" t="s">
        <v>70</v>
      </c>
      <c r="J132" s="145" t="s">
        <v>107</v>
      </c>
      <c r="K132" s="28" t="s">
        <v>70</v>
      </c>
      <c r="L132" s="145" t="s">
        <v>107</v>
      </c>
    </row>
    <row r="133" spans="1:12" ht="80.099999999999994" customHeight="1" x14ac:dyDescent="0.3">
      <c r="A133" s="110"/>
      <c r="B133" s="111"/>
      <c r="C133" s="103" t="s">
        <v>72</v>
      </c>
      <c r="D133" s="145"/>
      <c r="E133" s="103" t="s">
        <v>72</v>
      </c>
      <c r="F133" s="145"/>
      <c r="G133" s="103" t="s">
        <v>72</v>
      </c>
      <c r="H133" s="145"/>
      <c r="I133" s="103" t="s">
        <v>72</v>
      </c>
      <c r="J133" s="145"/>
      <c r="K133" s="103" t="s">
        <v>72</v>
      </c>
      <c r="L133" s="145"/>
    </row>
    <row r="134" spans="1:12" ht="27" customHeight="1" x14ac:dyDescent="0.3">
      <c r="A134" s="126" t="s">
        <v>12</v>
      </c>
      <c r="B134" s="126" t="s">
        <v>13</v>
      </c>
      <c r="C134" s="124" t="s">
        <v>14</v>
      </c>
      <c r="D134" s="124"/>
      <c r="E134" s="124" t="s">
        <v>15</v>
      </c>
      <c r="F134" s="124"/>
      <c r="G134" s="124" t="s">
        <v>16</v>
      </c>
      <c r="H134" s="124"/>
      <c r="I134" s="124" t="s">
        <v>17</v>
      </c>
      <c r="J134" s="124"/>
      <c r="K134" s="124" t="s">
        <v>18</v>
      </c>
      <c r="L134" s="124"/>
    </row>
    <row r="135" spans="1:12" ht="27" customHeight="1" thickBot="1" x14ac:dyDescent="0.35">
      <c r="A135" s="127"/>
      <c r="B135" s="127"/>
      <c r="C135" s="125">
        <f>K117+3</f>
        <v>45964</v>
      </c>
      <c r="D135" s="125"/>
      <c r="E135" s="125">
        <f>C135+1</f>
        <v>45965</v>
      </c>
      <c r="F135" s="125"/>
      <c r="G135" s="125">
        <f>E135+1</f>
        <v>45966</v>
      </c>
      <c r="H135" s="125"/>
      <c r="I135" s="125">
        <f>G135+1</f>
        <v>45967</v>
      </c>
      <c r="J135" s="125"/>
      <c r="K135" s="125">
        <f>I135+1</f>
        <v>45968</v>
      </c>
      <c r="L135" s="125"/>
    </row>
    <row r="136" spans="1:12" ht="25.5" customHeight="1" thickTop="1" x14ac:dyDescent="0.3">
      <c r="A136" s="109">
        <v>1</v>
      </c>
      <c r="B136" s="119" t="s">
        <v>23</v>
      </c>
      <c r="C136" s="43" t="s">
        <v>58</v>
      </c>
      <c r="D136" s="150" t="s">
        <v>92</v>
      </c>
      <c r="E136" s="43" t="s">
        <v>58</v>
      </c>
      <c r="F136" s="150" t="s">
        <v>92</v>
      </c>
      <c r="G136" s="43" t="s">
        <v>58</v>
      </c>
      <c r="H136" s="150" t="s">
        <v>92</v>
      </c>
      <c r="I136" s="13" t="s">
        <v>58</v>
      </c>
      <c r="J136" s="149" t="s">
        <v>92</v>
      </c>
      <c r="K136" s="13" t="s">
        <v>58</v>
      </c>
      <c r="L136" s="149" t="s">
        <v>92</v>
      </c>
    </row>
    <row r="137" spans="1:12" ht="80.099999999999994" customHeight="1" x14ac:dyDescent="0.3">
      <c r="A137" s="110"/>
      <c r="B137" s="120"/>
      <c r="C137" s="43" t="s">
        <v>59</v>
      </c>
      <c r="D137" s="150"/>
      <c r="E137" s="43" t="s">
        <v>59</v>
      </c>
      <c r="F137" s="150"/>
      <c r="G137" s="43" t="s">
        <v>59</v>
      </c>
      <c r="H137" s="150"/>
      <c r="I137" s="13" t="s">
        <v>61</v>
      </c>
      <c r="J137" s="149"/>
      <c r="K137" s="13" t="s">
        <v>61</v>
      </c>
      <c r="L137" s="149"/>
    </row>
    <row r="138" spans="1:12" ht="25.5" customHeight="1" x14ac:dyDescent="0.3">
      <c r="A138" s="115">
        <v>2</v>
      </c>
      <c r="B138" s="118" t="s">
        <v>24</v>
      </c>
      <c r="C138" s="43" t="s">
        <v>58</v>
      </c>
      <c r="D138" s="150" t="s">
        <v>92</v>
      </c>
      <c r="E138" s="43" t="s">
        <v>58</v>
      </c>
      <c r="F138" s="150" t="s">
        <v>92</v>
      </c>
      <c r="G138" s="43" t="s">
        <v>58</v>
      </c>
      <c r="H138" s="150" t="s">
        <v>92</v>
      </c>
      <c r="I138" s="13" t="s">
        <v>58</v>
      </c>
      <c r="J138" s="149" t="s">
        <v>92</v>
      </c>
      <c r="K138" s="13" t="s">
        <v>58</v>
      </c>
      <c r="L138" s="149" t="s">
        <v>92</v>
      </c>
    </row>
    <row r="139" spans="1:12" ht="80.099999999999994" customHeight="1" x14ac:dyDescent="0.3">
      <c r="A139" s="115"/>
      <c r="B139" s="118"/>
      <c r="C139" s="43" t="s">
        <v>59</v>
      </c>
      <c r="D139" s="150"/>
      <c r="E139" s="43" t="s">
        <v>59</v>
      </c>
      <c r="F139" s="150"/>
      <c r="G139" s="43" t="s">
        <v>59</v>
      </c>
      <c r="H139" s="150"/>
      <c r="I139" s="13" t="s">
        <v>61</v>
      </c>
      <c r="J139" s="149"/>
      <c r="K139" s="13" t="s">
        <v>61</v>
      </c>
      <c r="L139" s="149"/>
    </row>
    <row r="140" spans="1:12" ht="25.5" customHeight="1" x14ac:dyDescent="0.3">
      <c r="A140" s="115">
        <v>3</v>
      </c>
      <c r="B140" s="118" t="s">
        <v>25</v>
      </c>
      <c r="C140" s="43" t="s">
        <v>58</v>
      </c>
      <c r="D140" s="150" t="s">
        <v>92</v>
      </c>
      <c r="E140" s="43" t="s">
        <v>58</v>
      </c>
      <c r="F140" s="150" t="s">
        <v>92</v>
      </c>
      <c r="G140" s="43" t="s">
        <v>58</v>
      </c>
      <c r="H140" s="150" t="s">
        <v>92</v>
      </c>
      <c r="I140" s="13" t="s">
        <v>58</v>
      </c>
      <c r="J140" s="149" t="s">
        <v>92</v>
      </c>
      <c r="K140" s="13" t="s">
        <v>58</v>
      </c>
      <c r="L140" s="149" t="s">
        <v>92</v>
      </c>
    </row>
    <row r="141" spans="1:12" ht="80.099999999999994" customHeight="1" x14ac:dyDescent="0.3">
      <c r="A141" s="115"/>
      <c r="B141" s="118"/>
      <c r="C141" s="43" t="s">
        <v>59</v>
      </c>
      <c r="D141" s="150"/>
      <c r="E141" s="43" t="s">
        <v>59</v>
      </c>
      <c r="F141" s="150"/>
      <c r="G141" s="43" t="s">
        <v>59</v>
      </c>
      <c r="H141" s="150"/>
      <c r="I141" s="13" t="s">
        <v>61</v>
      </c>
      <c r="J141" s="149"/>
      <c r="K141" s="13" t="s">
        <v>61</v>
      </c>
      <c r="L141" s="149"/>
    </row>
    <row r="142" spans="1:12" ht="25.5" customHeight="1" x14ac:dyDescent="0.3">
      <c r="A142" s="115">
        <v>4</v>
      </c>
      <c r="B142" s="118" t="s">
        <v>26</v>
      </c>
      <c r="C142" s="43" t="s">
        <v>58</v>
      </c>
      <c r="D142" s="150" t="s">
        <v>92</v>
      </c>
      <c r="E142" s="43" t="s">
        <v>58</v>
      </c>
      <c r="F142" s="150" t="s">
        <v>92</v>
      </c>
      <c r="G142" s="43" t="s">
        <v>58</v>
      </c>
      <c r="H142" s="150" t="s">
        <v>92</v>
      </c>
      <c r="I142" s="13" t="s">
        <v>58</v>
      </c>
      <c r="J142" s="149" t="s">
        <v>92</v>
      </c>
      <c r="K142" s="13" t="s">
        <v>58</v>
      </c>
      <c r="L142" s="149" t="s">
        <v>92</v>
      </c>
    </row>
    <row r="143" spans="1:12" ht="80.099999999999994" customHeight="1" x14ac:dyDescent="0.3">
      <c r="A143" s="115"/>
      <c r="B143" s="118"/>
      <c r="C143" s="43" t="s">
        <v>59</v>
      </c>
      <c r="D143" s="150"/>
      <c r="E143" s="43" t="s">
        <v>59</v>
      </c>
      <c r="F143" s="150"/>
      <c r="G143" s="43" t="s">
        <v>59</v>
      </c>
      <c r="H143" s="150"/>
      <c r="I143" s="13" t="s">
        <v>61</v>
      </c>
      <c r="J143" s="149"/>
      <c r="K143" s="13" t="s">
        <v>61</v>
      </c>
      <c r="L143" s="149"/>
    </row>
    <row r="144" spans="1:12" ht="25.5" customHeight="1" x14ac:dyDescent="0.3">
      <c r="A144" s="109">
        <v>5</v>
      </c>
      <c r="B144" s="111" t="s">
        <v>27</v>
      </c>
      <c r="C144" s="28" t="s">
        <v>70</v>
      </c>
      <c r="D144" s="145" t="s">
        <v>107</v>
      </c>
      <c r="E144" s="28" t="s">
        <v>70</v>
      </c>
      <c r="F144" s="145" t="s">
        <v>107</v>
      </c>
      <c r="G144" s="28" t="s">
        <v>70</v>
      </c>
      <c r="H144" s="145" t="s">
        <v>107</v>
      </c>
      <c r="I144" s="28" t="s">
        <v>70</v>
      </c>
      <c r="J144" s="145" t="s">
        <v>107</v>
      </c>
      <c r="K144" s="28" t="s">
        <v>70</v>
      </c>
      <c r="L144" s="145" t="s">
        <v>107</v>
      </c>
    </row>
    <row r="145" spans="1:12" ht="80.099999999999994" customHeight="1" x14ac:dyDescent="0.3">
      <c r="A145" s="110"/>
      <c r="B145" s="111"/>
      <c r="C145" s="103" t="s">
        <v>72</v>
      </c>
      <c r="D145" s="145"/>
      <c r="E145" s="103" t="s">
        <v>72</v>
      </c>
      <c r="F145" s="145"/>
      <c r="G145" s="103" t="s">
        <v>72</v>
      </c>
      <c r="H145" s="145"/>
      <c r="I145" s="103" t="s">
        <v>72</v>
      </c>
      <c r="J145" s="145"/>
      <c r="K145" s="103" t="s">
        <v>72</v>
      </c>
      <c r="L145" s="145"/>
    </row>
    <row r="146" spans="1:12" ht="25.5" customHeight="1" x14ac:dyDescent="0.3">
      <c r="A146" s="109">
        <v>6</v>
      </c>
      <c r="B146" s="111" t="s">
        <v>28</v>
      </c>
      <c r="C146" s="28" t="s">
        <v>70</v>
      </c>
      <c r="D146" s="145" t="s">
        <v>107</v>
      </c>
      <c r="E146" s="28" t="s">
        <v>70</v>
      </c>
      <c r="F146" s="145" t="s">
        <v>107</v>
      </c>
      <c r="G146" s="28" t="s">
        <v>70</v>
      </c>
      <c r="H146" s="145" t="s">
        <v>107</v>
      </c>
      <c r="I146" s="28" t="s">
        <v>70</v>
      </c>
      <c r="J146" s="145" t="s">
        <v>107</v>
      </c>
      <c r="K146" s="28" t="s">
        <v>70</v>
      </c>
      <c r="L146" s="145" t="s">
        <v>107</v>
      </c>
    </row>
    <row r="147" spans="1:12" ht="80.099999999999994" customHeight="1" x14ac:dyDescent="0.3">
      <c r="A147" s="110"/>
      <c r="B147" s="111"/>
      <c r="C147" s="103" t="s">
        <v>72</v>
      </c>
      <c r="D147" s="145"/>
      <c r="E147" s="103" t="s">
        <v>72</v>
      </c>
      <c r="F147" s="145"/>
      <c r="G147" s="103" t="s">
        <v>72</v>
      </c>
      <c r="H147" s="145"/>
      <c r="I147" s="103" t="s">
        <v>72</v>
      </c>
      <c r="J147" s="145"/>
      <c r="K147" s="103" t="s">
        <v>72</v>
      </c>
      <c r="L147" s="145"/>
    </row>
    <row r="148" spans="1:12" ht="25.5" customHeight="1" x14ac:dyDescent="0.3">
      <c r="A148" s="109">
        <v>7</v>
      </c>
      <c r="B148" s="111" t="s">
        <v>29</v>
      </c>
      <c r="C148" s="28" t="s">
        <v>70</v>
      </c>
      <c r="D148" s="145" t="s">
        <v>107</v>
      </c>
      <c r="E148" s="28" t="s">
        <v>70</v>
      </c>
      <c r="F148" s="145" t="s">
        <v>107</v>
      </c>
      <c r="G148" s="28" t="s">
        <v>70</v>
      </c>
      <c r="H148" s="145" t="s">
        <v>107</v>
      </c>
      <c r="I148" s="28" t="s">
        <v>70</v>
      </c>
      <c r="J148" s="145" t="s">
        <v>107</v>
      </c>
      <c r="K148" s="28" t="s">
        <v>70</v>
      </c>
      <c r="L148" s="145" t="s">
        <v>107</v>
      </c>
    </row>
    <row r="149" spans="1:12" ht="80.099999999999994" customHeight="1" x14ac:dyDescent="0.3">
      <c r="A149" s="110"/>
      <c r="B149" s="111"/>
      <c r="C149" s="103" t="s">
        <v>72</v>
      </c>
      <c r="D149" s="145"/>
      <c r="E149" s="103" t="s">
        <v>72</v>
      </c>
      <c r="F149" s="145"/>
      <c r="G149" s="103" t="s">
        <v>72</v>
      </c>
      <c r="H149" s="145"/>
      <c r="I149" s="103" t="s">
        <v>72</v>
      </c>
      <c r="J149" s="145"/>
      <c r="K149" s="103" t="s">
        <v>72</v>
      </c>
      <c r="L149" s="145"/>
    </row>
    <row r="150" spans="1:12" ht="25.5" customHeight="1" x14ac:dyDescent="0.3">
      <c r="A150" s="109">
        <v>8</v>
      </c>
      <c r="B150" s="111" t="s">
        <v>40</v>
      </c>
      <c r="C150" s="28" t="s">
        <v>70</v>
      </c>
      <c r="D150" s="145" t="s">
        <v>107</v>
      </c>
      <c r="E150" s="28" t="s">
        <v>70</v>
      </c>
      <c r="F150" s="145" t="s">
        <v>107</v>
      </c>
      <c r="G150" s="28" t="s">
        <v>70</v>
      </c>
      <c r="H150" s="145" t="s">
        <v>107</v>
      </c>
      <c r="I150" s="28" t="s">
        <v>70</v>
      </c>
      <c r="J150" s="145" t="s">
        <v>107</v>
      </c>
      <c r="K150" s="28" t="s">
        <v>70</v>
      </c>
      <c r="L150" s="145" t="s">
        <v>107</v>
      </c>
    </row>
    <row r="151" spans="1:12" ht="80.099999999999994" customHeight="1" x14ac:dyDescent="0.3">
      <c r="A151" s="110"/>
      <c r="B151" s="111"/>
      <c r="C151" s="103" t="s">
        <v>72</v>
      </c>
      <c r="D151" s="145"/>
      <c r="E151" s="103" t="s">
        <v>72</v>
      </c>
      <c r="F151" s="145"/>
      <c r="G151" s="103" t="s">
        <v>72</v>
      </c>
      <c r="H151" s="145"/>
      <c r="I151" s="103" t="s">
        <v>72</v>
      </c>
      <c r="J151" s="145"/>
      <c r="K151" s="103" t="s">
        <v>72</v>
      </c>
      <c r="L151" s="145"/>
    </row>
    <row r="152" spans="1:12" ht="27" customHeight="1" x14ac:dyDescent="0.3">
      <c r="A152" s="126" t="s">
        <v>12</v>
      </c>
      <c r="B152" s="126" t="s">
        <v>13</v>
      </c>
      <c r="C152" s="124" t="s">
        <v>14</v>
      </c>
      <c r="D152" s="124"/>
      <c r="E152" s="124" t="s">
        <v>15</v>
      </c>
      <c r="F152" s="124"/>
      <c r="G152" s="124" t="s">
        <v>16</v>
      </c>
      <c r="H152" s="124"/>
      <c r="I152" s="124" t="s">
        <v>17</v>
      </c>
      <c r="J152" s="124"/>
      <c r="K152" s="124" t="s">
        <v>18</v>
      </c>
      <c r="L152" s="124"/>
    </row>
    <row r="153" spans="1:12" ht="27" customHeight="1" thickBot="1" x14ac:dyDescent="0.35">
      <c r="A153" s="127"/>
      <c r="B153" s="127"/>
      <c r="C153" s="125">
        <f>K135+3</f>
        <v>45971</v>
      </c>
      <c r="D153" s="125"/>
      <c r="E153" s="125">
        <f>C153+1</f>
        <v>45972</v>
      </c>
      <c r="F153" s="125"/>
      <c r="G153" s="125">
        <f>E153+1</f>
        <v>45973</v>
      </c>
      <c r="H153" s="125"/>
      <c r="I153" s="125">
        <f>G153+1</f>
        <v>45974</v>
      </c>
      <c r="J153" s="125"/>
      <c r="K153" s="125">
        <f>I153+1</f>
        <v>45975</v>
      </c>
      <c r="L153" s="125"/>
    </row>
    <row r="154" spans="1:12" ht="25.5" customHeight="1" thickTop="1" x14ac:dyDescent="0.3">
      <c r="A154" s="109">
        <v>1</v>
      </c>
      <c r="B154" s="119" t="s">
        <v>23</v>
      </c>
      <c r="C154" s="13" t="s">
        <v>58</v>
      </c>
      <c r="D154" s="149" t="s">
        <v>92</v>
      </c>
      <c r="E154" s="13" t="s">
        <v>58</v>
      </c>
      <c r="F154" s="149" t="s">
        <v>92</v>
      </c>
      <c r="G154" s="13" t="s">
        <v>58</v>
      </c>
      <c r="H154" s="149" t="s">
        <v>92</v>
      </c>
      <c r="I154" s="13" t="s">
        <v>58</v>
      </c>
      <c r="J154" s="149" t="s">
        <v>92</v>
      </c>
      <c r="K154" s="13" t="s">
        <v>58</v>
      </c>
      <c r="L154" s="149" t="s">
        <v>92</v>
      </c>
    </row>
    <row r="155" spans="1:12" ht="80.099999999999994" customHeight="1" x14ac:dyDescent="0.3">
      <c r="A155" s="110"/>
      <c r="B155" s="120"/>
      <c r="C155" s="13" t="s">
        <v>61</v>
      </c>
      <c r="D155" s="149"/>
      <c r="E155" s="13" t="s">
        <v>61</v>
      </c>
      <c r="F155" s="149"/>
      <c r="G155" s="13" t="s">
        <v>61</v>
      </c>
      <c r="H155" s="149"/>
      <c r="I155" s="13" t="s">
        <v>61</v>
      </c>
      <c r="J155" s="149"/>
      <c r="K155" s="13" t="s">
        <v>61</v>
      </c>
      <c r="L155" s="149"/>
    </row>
    <row r="156" spans="1:12" ht="25.5" customHeight="1" x14ac:dyDescent="0.3">
      <c r="A156" s="115">
        <v>2</v>
      </c>
      <c r="B156" s="118" t="s">
        <v>24</v>
      </c>
      <c r="C156" s="13" t="s">
        <v>58</v>
      </c>
      <c r="D156" s="149" t="s">
        <v>92</v>
      </c>
      <c r="E156" s="13" t="s">
        <v>58</v>
      </c>
      <c r="F156" s="149" t="s">
        <v>92</v>
      </c>
      <c r="G156" s="13" t="s">
        <v>58</v>
      </c>
      <c r="H156" s="149" t="s">
        <v>92</v>
      </c>
      <c r="I156" s="13" t="s">
        <v>58</v>
      </c>
      <c r="J156" s="149" t="s">
        <v>92</v>
      </c>
      <c r="K156" s="13" t="s">
        <v>58</v>
      </c>
      <c r="L156" s="149" t="s">
        <v>92</v>
      </c>
    </row>
    <row r="157" spans="1:12" ht="80.099999999999994" customHeight="1" x14ac:dyDescent="0.3">
      <c r="A157" s="115"/>
      <c r="B157" s="118"/>
      <c r="C157" s="13" t="s">
        <v>61</v>
      </c>
      <c r="D157" s="149"/>
      <c r="E157" s="13" t="s">
        <v>61</v>
      </c>
      <c r="F157" s="149"/>
      <c r="G157" s="13" t="s">
        <v>61</v>
      </c>
      <c r="H157" s="149"/>
      <c r="I157" s="13" t="s">
        <v>61</v>
      </c>
      <c r="J157" s="149"/>
      <c r="K157" s="13" t="s">
        <v>61</v>
      </c>
      <c r="L157" s="149"/>
    </row>
    <row r="158" spans="1:12" ht="25.5" customHeight="1" x14ac:dyDescent="0.3">
      <c r="A158" s="115">
        <v>3</v>
      </c>
      <c r="B158" s="118" t="s">
        <v>25</v>
      </c>
      <c r="C158" s="13" t="s">
        <v>58</v>
      </c>
      <c r="D158" s="149" t="s">
        <v>92</v>
      </c>
      <c r="E158" s="13" t="s">
        <v>58</v>
      </c>
      <c r="F158" s="149" t="s">
        <v>92</v>
      </c>
      <c r="G158" s="13" t="s">
        <v>58</v>
      </c>
      <c r="H158" s="149" t="s">
        <v>92</v>
      </c>
      <c r="I158" s="13" t="s">
        <v>58</v>
      </c>
      <c r="J158" s="149" t="s">
        <v>92</v>
      </c>
      <c r="K158" s="13" t="s">
        <v>58</v>
      </c>
      <c r="L158" s="149" t="s">
        <v>92</v>
      </c>
    </row>
    <row r="159" spans="1:12" ht="80.099999999999994" customHeight="1" x14ac:dyDescent="0.3">
      <c r="A159" s="115"/>
      <c r="B159" s="118"/>
      <c r="C159" s="13" t="s">
        <v>61</v>
      </c>
      <c r="D159" s="149"/>
      <c r="E159" s="13" t="s">
        <v>61</v>
      </c>
      <c r="F159" s="149"/>
      <c r="G159" s="13" t="s">
        <v>61</v>
      </c>
      <c r="H159" s="149"/>
      <c r="I159" s="13" t="s">
        <v>61</v>
      </c>
      <c r="J159" s="149"/>
      <c r="K159" s="13" t="s">
        <v>61</v>
      </c>
      <c r="L159" s="149"/>
    </row>
    <row r="160" spans="1:12" ht="25.5" customHeight="1" x14ac:dyDescent="0.3">
      <c r="A160" s="115">
        <v>4</v>
      </c>
      <c r="B160" s="118" t="s">
        <v>26</v>
      </c>
      <c r="C160" s="13" t="s">
        <v>58</v>
      </c>
      <c r="D160" s="149" t="s">
        <v>92</v>
      </c>
      <c r="E160" s="13" t="s">
        <v>58</v>
      </c>
      <c r="F160" s="149" t="s">
        <v>92</v>
      </c>
      <c r="G160" s="13" t="s">
        <v>58</v>
      </c>
      <c r="H160" s="149" t="s">
        <v>92</v>
      </c>
      <c r="I160" s="13" t="s">
        <v>58</v>
      </c>
      <c r="J160" s="149" t="s">
        <v>92</v>
      </c>
      <c r="K160" s="13" t="s">
        <v>58</v>
      </c>
      <c r="L160" s="149" t="s">
        <v>92</v>
      </c>
    </row>
    <row r="161" spans="1:12" ht="80.099999999999994" customHeight="1" x14ac:dyDescent="0.3">
      <c r="A161" s="115"/>
      <c r="B161" s="118"/>
      <c r="C161" s="13" t="s">
        <v>61</v>
      </c>
      <c r="D161" s="149"/>
      <c r="E161" s="13" t="s">
        <v>61</v>
      </c>
      <c r="F161" s="149"/>
      <c r="G161" s="13" t="s">
        <v>61</v>
      </c>
      <c r="H161" s="149"/>
      <c r="I161" s="13" t="s">
        <v>61</v>
      </c>
      <c r="J161" s="149"/>
      <c r="K161" s="13" t="s">
        <v>61</v>
      </c>
      <c r="L161" s="149"/>
    </row>
    <row r="162" spans="1:12" ht="25.5" customHeight="1" x14ac:dyDescent="0.3">
      <c r="A162" s="109">
        <v>5</v>
      </c>
      <c r="B162" s="111" t="s">
        <v>27</v>
      </c>
      <c r="C162" s="28" t="s">
        <v>70</v>
      </c>
      <c r="D162" s="145" t="s">
        <v>107</v>
      </c>
      <c r="E162" s="28" t="s">
        <v>70</v>
      </c>
      <c r="F162" s="145" t="s">
        <v>107</v>
      </c>
      <c r="G162" s="28" t="s">
        <v>70</v>
      </c>
      <c r="H162" s="145" t="s">
        <v>107</v>
      </c>
      <c r="I162" s="17" t="s">
        <v>70</v>
      </c>
      <c r="J162" s="144" t="s">
        <v>110</v>
      </c>
      <c r="K162" s="17" t="s">
        <v>70</v>
      </c>
      <c r="L162" s="144" t="s">
        <v>110</v>
      </c>
    </row>
    <row r="163" spans="1:12" ht="80.099999999999994" customHeight="1" x14ac:dyDescent="0.3">
      <c r="A163" s="110"/>
      <c r="B163" s="111"/>
      <c r="C163" s="103" t="s">
        <v>72</v>
      </c>
      <c r="D163" s="145"/>
      <c r="E163" s="103" t="s">
        <v>72</v>
      </c>
      <c r="F163" s="145"/>
      <c r="G163" s="103" t="s">
        <v>72</v>
      </c>
      <c r="H163" s="145"/>
      <c r="I163" s="17" t="s">
        <v>73</v>
      </c>
      <c r="J163" s="144"/>
      <c r="K163" s="17" t="s">
        <v>73</v>
      </c>
      <c r="L163" s="144"/>
    </row>
    <row r="164" spans="1:12" ht="25.5" customHeight="1" x14ac:dyDescent="0.3">
      <c r="A164" s="109">
        <v>6</v>
      </c>
      <c r="B164" s="111" t="s">
        <v>28</v>
      </c>
      <c r="C164" s="28" t="s">
        <v>70</v>
      </c>
      <c r="D164" s="145" t="s">
        <v>107</v>
      </c>
      <c r="E164" s="28" t="s">
        <v>70</v>
      </c>
      <c r="F164" s="145" t="s">
        <v>107</v>
      </c>
      <c r="G164" s="28" t="s">
        <v>70</v>
      </c>
      <c r="H164" s="145" t="s">
        <v>107</v>
      </c>
      <c r="I164" s="17" t="s">
        <v>70</v>
      </c>
      <c r="J164" s="144" t="s">
        <v>110</v>
      </c>
      <c r="K164" s="17" t="s">
        <v>70</v>
      </c>
      <c r="L164" s="144" t="s">
        <v>110</v>
      </c>
    </row>
    <row r="165" spans="1:12" ht="80.099999999999994" customHeight="1" x14ac:dyDescent="0.3">
      <c r="A165" s="110"/>
      <c r="B165" s="111"/>
      <c r="C165" s="103" t="s">
        <v>72</v>
      </c>
      <c r="D165" s="145"/>
      <c r="E165" s="103" t="s">
        <v>72</v>
      </c>
      <c r="F165" s="145"/>
      <c r="G165" s="103" t="s">
        <v>72</v>
      </c>
      <c r="H165" s="145"/>
      <c r="I165" s="17" t="s">
        <v>73</v>
      </c>
      <c r="J165" s="144"/>
      <c r="K165" s="17" t="s">
        <v>73</v>
      </c>
      <c r="L165" s="144"/>
    </row>
    <row r="166" spans="1:12" ht="25.5" customHeight="1" x14ac:dyDescent="0.3">
      <c r="A166" s="109">
        <v>7</v>
      </c>
      <c r="B166" s="111" t="s">
        <v>29</v>
      </c>
      <c r="C166" s="28" t="s">
        <v>70</v>
      </c>
      <c r="D166" s="145" t="s">
        <v>107</v>
      </c>
      <c r="E166" s="28" t="s">
        <v>70</v>
      </c>
      <c r="F166" s="145" t="s">
        <v>107</v>
      </c>
      <c r="G166" s="28" t="s">
        <v>70</v>
      </c>
      <c r="H166" s="145" t="s">
        <v>107</v>
      </c>
      <c r="I166" s="17" t="s">
        <v>70</v>
      </c>
      <c r="J166" s="144" t="s">
        <v>110</v>
      </c>
      <c r="K166" s="17" t="s">
        <v>70</v>
      </c>
      <c r="L166" s="144" t="s">
        <v>110</v>
      </c>
    </row>
    <row r="167" spans="1:12" ht="80.099999999999994" customHeight="1" x14ac:dyDescent="0.3">
      <c r="A167" s="110"/>
      <c r="B167" s="111"/>
      <c r="C167" s="103" t="s">
        <v>72</v>
      </c>
      <c r="D167" s="145"/>
      <c r="E167" s="103" t="s">
        <v>72</v>
      </c>
      <c r="F167" s="145"/>
      <c r="G167" s="103" t="s">
        <v>72</v>
      </c>
      <c r="H167" s="145"/>
      <c r="I167" s="17" t="s">
        <v>73</v>
      </c>
      <c r="J167" s="144"/>
      <c r="K167" s="17" t="s">
        <v>73</v>
      </c>
      <c r="L167" s="144"/>
    </row>
    <row r="168" spans="1:12" ht="25.5" customHeight="1" x14ac:dyDescent="0.3">
      <c r="A168" s="109">
        <v>8</v>
      </c>
      <c r="B168" s="111" t="s">
        <v>40</v>
      </c>
      <c r="C168" s="28" t="s">
        <v>70</v>
      </c>
      <c r="D168" s="145" t="s">
        <v>107</v>
      </c>
      <c r="E168" s="28" t="s">
        <v>70</v>
      </c>
      <c r="F168" s="145" t="s">
        <v>107</v>
      </c>
      <c r="G168" s="17" t="s">
        <v>70</v>
      </c>
      <c r="H168" s="144" t="s">
        <v>110</v>
      </c>
      <c r="I168" s="17" t="s">
        <v>70</v>
      </c>
      <c r="J168" s="144" t="s">
        <v>110</v>
      </c>
      <c r="K168" s="17" t="s">
        <v>70</v>
      </c>
      <c r="L168" s="144" t="s">
        <v>110</v>
      </c>
    </row>
    <row r="169" spans="1:12" ht="80.099999999999994" customHeight="1" x14ac:dyDescent="0.3">
      <c r="A169" s="110"/>
      <c r="B169" s="111"/>
      <c r="C169" s="103" t="s">
        <v>72</v>
      </c>
      <c r="D169" s="145"/>
      <c r="E169" s="103" t="s">
        <v>72</v>
      </c>
      <c r="F169" s="145"/>
      <c r="G169" s="17" t="s">
        <v>73</v>
      </c>
      <c r="H169" s="144"/>
      <c r="I169" s="17" t="s">
        <v>73</v>
      </c>
      <c r="J169" s="144"/>
      <c r="K169" s="17" t="s">
        <v>73</v>
      </c>
      <c r="L169" s="144"/>
    </row>
    <row r="170" spans="1:12" ht="27" customHeight="1" x14ac:dyDescent="0.3">
      <c r="A170" s="126" t="s">
        <v>12</v>
      </c>
      <c r="B170" s="126" t="s">
        <v>13</v>
      </c>
      <c r="C170" s="124" t="s">
        <v>14</v>
      </c>
      <c r="D170" s="124"/>
      <c r="E170" s="124" t="s">
        <v>15</v>
      </c>
      <c r="F170" s="124"/>
      <c r="G170" s="136" t="s">
        <v>16</v>
      </c>
      <c r="H170" s="137"/>
      <c r="I170" s="136" t="s">
        <v>17</v>
      </c>
      <c r="J170" s="137"/>
      <c r="K170" s="136" t="s">
        <v>18</v>
      </c>
      <c r="L170" s="137"/>
    </row>
    <row r="171" spans="1:12" ht="27" customHeight="1" thickBot="1" x14ac:dyDescent="0.35">
      <c r="A171" s="127"/>
      <c r="B171" s="127"/>
      <c r="C171" s="125">
        <f>K153+3</f>
        <v>45978</v>
      </c>
      <c r="D171" s="125"/>
      <c r="E171" s="125">
        <f>C171+1</f>
        <v>45979</v>
      </c>
      <c r="F171" s="125"/>
      <c r="G171" s="138">
        <f>E171+1</f>
        <v>45980</v>
      </c>
      <c r="H171" s="139"/>
      <c r="I171" s="138">
        <f>G171+1</f>
        <v>45981</v>
      </c>
      <c r="J171" s="139"/>
      <c r="K171" s="138">
        <f>I171+1</f>
        <v>45982</v>
      </c>
      <c r="L171" s="139"/>
    </row>
    <row r="172" spans="1:12" ht="25.5" customHeight="1" thickTop="1" x14ac:dyDescent="0.3">
      <c r="A172" s="109">
        <v>1</v>
      </c>
      <c r="B172" s="119" t="s">
        <v>23</v>
      </c>
      <c r="C172" s="17" t="s">
        <v>70</v>
      </c>
      <c r="D172" s="144" t="s">
        <v>110</v>
      </c>
      <c r="E172" s="13" t="s">
        <v>58</v>
      </c>
      <c r="F172" s="149" t="s">
        <v>92</v>
      </c>
      <c r="G172" s="13" t="s">
        <v>58</v>
      </c>
      <c r="H172" s="149" t="s">
        <v>92</v>
      </c>
      <c r="I172" s="13" t="s">
        <v>58</v>
      </c>
      <c r="J172" s="149" t="s">
        <v>92</v>
      </c>
      <c r="K172" s="13" t="s">
        <v>58</v>
      </c>
      <c r="L172" s="149" t="s">
        <v>92</v>
      </c>
    </row>
    <row r="173" spans="1:12" ht="80.099999999999994" customHeight="1" x14ac:dyDescent="0.3">
      <c r="A173" s="110"/>
      <c r="B173" s="120"/>
      <c r="C173" s="17" t="s">
        <v>73</v>
      </c>
      <c r="D173" s="144"/>
      <c r="E173" s="13" t="s">
        <v>61</v>
      </c>
      <c r="F173" s="149"/>
      <c r="G173" s="13" t="s">
        <v>61</v>
      </c>
      <c r="H173" s="149"/>
      <c r="I173" s="13" t="s">
        <v>61</v>
      </c>
      <c r="J173" s="149"/>
      <c r="K173" s="13" t="s">
        <v>61</v>
      </c>
      <c r="L173" s="149"/>
    </row>
    <row r="174" spans="1:12" ht="25.5" customHeight="1" x14ac:dyDescent="0.3">
      <c r="A174" s="115">
        <v>2</v>
      </c>
      <c r="B174" s="118" t="s">
        <v>24</v>
      </c>
      <c r="C174" s="17" t="s">
        <v>70</v>
      </c>
      <c r="D174" s="144" t="s">
        <v>110</v>
      </c>
      <c r="E174" s="13" t="s">
        <v>58</v>
      </c>
      <c r="F174" s="149" t="s">
        <v>92</v>
      </c>
      <c r="G174" s="13" t="s">
        <v>58</v>
      </c>
      <c r="H174" s="149" t="s">
        <v>92</v>
      </c>
      <c r="I174" s="13" t="s">
        <v>58</v>
      </c>
      <c r="J174" s="149" t="s">
        <v>92</v>
      </c>
      <c r="K174" s="13" t="s">
        <v>58</v>
      </c>
      <c r="L174" s="149" t="s">
        <v>92</v>
      </c>
    </row>
    <row r="175" spans="1:12" ht="80.099999999999994" customHeight="1" x14ac:dyDescent="0.3">
      <c r="A175" s="115"/>
      <c r="B175" s="118"/>
      <c r="C175" s="17" t="s">
        <v>73</v>
      </c>
      <c r="D175" s="144"/>
      <c r="E175" s="13" t="s">
        <v>61</v>
      </c>
      <c r="F175" s="149"/>
      <c r="G175" s="13" t="s">
        <v>61</v>
      </c>
      <c r="H175" s="149"/>
      <c r="I175" s="13" t="s">
        <v>61</v>
      </c>
      <c r="J175" s="149"/>
      <c r="K175" s="13" t="s">
        <v>61</v>
      </c>
      <c r="L175" s="149"/>
    </row>
    <row r="176" spans="1:12" ht="25.5" customHeight="1" x14ac:dyDescent="0.3">
      <c r="A176" s="115">
        <v>3</v>
      </c>
      <c r="B176" s="118" t="s">
        <v>25</v>
      </c>
      <c r="C176" s="17" t="s">
        <v>70</v>
      </c>
      <c r="D176" s="144" t="s">
        <v>110</v>
      </c>
      <c r="E176" s="13" t="s">
        <v>58</v>
      </c>
      <c r="F176" s="149" t="s">
        <v>92</v>
      </c>
      <c r="G176" s="13" t="s">
        <v>58</v>
      </c>
      <c r="H176" s="149" t="s">
        <v>92</v>
      </c>
      <c r="I176" s="13" t="s">
        <v>58</v>
      </c>
      <c r="J176" s="149" t="s">
        <v>92</v>
      </c>
      <c r="K176" s="13" t="s">
        <v>58</v>
      </c>
      <c r="L176" s="149" t="s">
        <v>92</v>
      </c>
    </row>
    <row r="177" spans="1:12" ht="80.099999999999994" customHeight="1" x14ac:dyDescent="0.3">
      <c r="A177" s="115"/>
      <c r="B177" s="118"/>
      <c r="C177" s="17" t="s">
        <v>73</v>
      </c>
      <c r="D177" s="144"/>
      <c r="E177" s="13" t="s">
        <v>61</v>
      </c>
      <c r="F177" s="149"/>
      <c r="G177" s="13" t="s">
        <v>61</v>
      </c>
      <c r="H177" s="149"/>
      <c r="I177" s="13" t="s">
        <v>61</v>
      </c>
      <c r="J177" s="149"/>
      <c r="K177" s="13" t="s">
        <v>61</v>
      </c>
      <c r="L177" s="149"/>
    </row>
    <row r="178" spans="1:12" ht="25.5" customHeight="1" x14ac:dyDescent="0.3">
      <c r="A178" s="115">
        <v>4</v>
      </c>
      <c r="B178" s="118" t="s">
        <v>26</v>
      </c>
      <c r="C178" s="17" t="s">
        <v>70</v>
      </c>
      <c r="D178" s="144" t="s">
        <v>110</v>
      </c>
      <c r="E178" s="13" t="s">
        <v>58</v>
      </c>
      <c r="F178" s="149" t="s">
        <v>92</v>
      </c>
      <c r="G178" s="13" t="s">
        <v>58</v>
      </c>
      <c r="H178" s="149" t="s">
        <v>92</v>
      </c>
      <c r="I178" s="13" t="s">
        <v>58</v>
      </c>
      <c r="J178" s="149" t="s">
        <v>92</v>
      </c>
      <c r="K178" s="13" t="s">
        <v>58</v>
      </c>
      <c r="L178" s="149" t="s">
        <v>92</v>
      </c>
    </row>
    <row r="179" spans="1:12" ht="80.099999999999994" customHeight="1" x14ac:dyDescent="0.3">
      <c r="A179" s="115"/>
      <c r="B179" s="118"/>
      <c r="C179" s="17" t="s">
        <v>73</v>
      </c>
      <c r="D179" s="144"/>
      <c r="E179" s="13" t="s">
        <v>61</v>
      </c>
      <c r="F179" s="149"/>
      <c r="G179" s="13" t="s">
        <v>61</v>
      </c>
      <c r="H179" s="149"/>
      <c r="I179" s="13" t="s">
        <v>61</v>
      </c>
      <c r="J179" s="149"/>
      <c r="K179" s="13" t="s">
        <v>61</v>
      </c>
      <c r="L179" s="149"/>
    </row>
    <row r="180" spans="1:12" ht="25.5" customHeight="1" x14ac:dyDescent="0.3">
      <c r="A180" s="109">
        <v>5</v>
      </c>
      <c r="B180" s="111" t="s">
        <v>27</v>
      </c>
      <c r="C180" s="17" t="s">
        <v>70</v>
      </c>
      <c r="D180" s="144" t="s">
        <v>110</v>
      </c>
      <c r="E180" s="17" t="s">
        <v>70</v>
      </c>
      <c r="F180" s="144" t="s">
        <v>110</v>
      </c>
      <c r="G180" s="17" t="s">
        <v>70</v>
      </c>
      <c r="H180" s="144" t="s">
        <v>110</v>
      </c>
      <c r="I180" s="17" t="s">
        <v>70</v>
      </c>
      <c r="J180" s="144" t="s">
        <v>110</v>
      </c>
      <c r="K180" s="17" t="s">
        <v>70</v>
      </c>
      <c r="L180" s="144" t="s">
        <v>110</v>
      </c>
    </row>
    <row r="181" spans="1:12" ht="80.099999999999994" customHeight="1" x14ac:dyDescent="0.3">
      <c r="A181" s="110"/>
      <c r="B181" s="111"/>
      <c r="C181" s="17" t="s">
        <v>73</v>
      </c>
      <c r="D181" s="144"/>
      <c r="E181" s="17" t="s">
        <v>73</v>
      </c>
      <c r="F181" s="144"/>
      <c r="G181" s="17" t="s">
        <v>73</v>
      </c>
      <c r="H181" s="144"/>
      <c r="I181" s="17" t="s">
        <v>73</v>
      </c>
      <c r="J181" s="144"/>
      <c r="K181" s="17" t="s">
        <v>73</v>
      </c>
      <c r="L181" s="144"/>
    </row>
    <row r="182" spans="1:12" ht="25.5" customHeight="1" x14ac:dyDescent="0.3">
      <c r="A182" s="109">
        <v>6</v>
      </c>
      <c r="B182" s="111" t="s">
        <v>28</v>
      </c>
      <c r="C182" s="17" t="s">
        <v>70</v>
      </c>
      <c r="D182" s="144" t="s">
        <v>110</v>
      </c>
      <c r="E182" s="17" t="s">
        <v>70</v>
      </c>
      <c r="F182" s="144" t="s">
        <v>110</v>
      </c>
      <c r="G182" s="17" t="s">
        <v>70</v>
      </c>
      <c r="H182" s="144" t="s">
        <v>110</v>
      </c>
      <c r="I182" s="17" t="s">
        <v>70</v>
      </c>
      <c r="J182" s="144" t="s">
        <v>110</v>
      </c>
      <c r="K182" s="17" t="s">
        <v>70</v>
      </c>
      <c r="L182" s="144" t="s">
        <v>110</v>
      </c>
    </row>
    <row r="183" spans="1:12" ht="80.099999999999994" customHeight="1" x14ac:dyDescent="0.3">
      <c r="A183" s="110"/>
      <c r="B183" s="111"/>
      <c r="C183" s="17" t="s">
        <v>73</v>
      </c>
      <c r="D183" s="144"/>
      <c r="E183" s="17" t="s">
        <v>73</v>
      </c>
      <c r="F183" s="144"/>
      <c r="G183" s="17" t="s">
        <v>73</v>
      </c>
      <c r="H183" s="144"/>
      <c r="I183" s="17" t="s">
        <v>73</v>
      </c>
      <c r="J183" s="144"/>
      <c r="K183" s="17" t="s">
        <v>73</v>
      </c>
      <c r="L183" s="144"/>
    </row>
    <row r="184" spans="1:12" ht="25.5" customHeight="1" x14ac:dyDescent="0.3">
      <c r="A184" s="109">
        <v>7</v>
      </c>
      <c r="B184" s="111" t="s">
        <v>29</v>
      </c>
      <c r="C184" s="17" t="s">
        <v>70</v>
      </c>
      <c r="D184" s="144" t="s">
        <v>110</v>
      </c>
      <c r="E184" s="17" t="s">
        <v>70</v>
      </c>
      <c r="F184" s="144" t="s">
        <v>110</v>
      </c>
      <c r="G184" s="17" t="s">
        <v>70</v>
      </c>
      <c r="H184" s="144" t="s">
        <v>110</v>
      </c>
      <c r="I184" s="17" t="s">
        <v>70</v>
      </c>
      <c r="J184" s="144" t="s">
        <v>110</v>
      </c>
      <c r="K184" s="17" t="s">
        <v>70</v>
      </c>
      <c r="L184" s="144" t="s">
        <v>110</v>
      </c>
    </row>
    <row r="185" spans="1:12" ht="80.099999999999994" customHeight="1" x14ac:dyDescent="0.3">
      <c r="A185" s="110"/>
      <c r="B185" s="111"/>
      <c r="C185" s="17" t="s">
        <v>73</v>
      </c>
      <c r="D185" s="144"/>
      <c r="E185" s="17" t="s">
        <v>73</v>
      </c>
      <c r="F185" s="144"/>
      <c r="G185" s="17" t="s">
        <v>73</v>
      </c>
      <c r="H185" s="144"/>
      <c r="I185" s="17" t="s">
        <v>73</v>
      </c>
      <c r="J185" s="144"/>
      <c r="K185" s="17" t="s">
        <v>73</v>
      </c>
      <c r="L185" s="144"/>
    </row>
    <row r="186" spans="1:12" ht="25.5" customHeight="1" x14ac:dyDescent="0.3">
      <c r="A186" s="109">
        <v>8</v>
      </c>
      <c r="B186" s="111" t="s">
        <v>40</v>
      </c>
      <c r="C186" s="17" t="s">
        <v>70</v>
      </c>
      <c r="D186" s="144" t="s">
        <v>110</v>
      </c>
      <c r="E186" s="17" t="s">
        <v>70</v>
      </c>
      <c r="F186" s="144" t="s">
        <v>110</v>
      </c>
      <c r="G186" s="17" t="s">
        <v>70</v>
      </c>
      <c r="H186" s="144" t="s">
        <v>110</v>
      </c>
      <c r="I186" s="17" t="s">
        <v>70</v>
      </c>
      <c r="J186" s="144" t="s">
        <v>110</v>
      </c>
      <c r="K186" s="17" t="s">
        <v>70</v>
      </c>
      <c r="L186" s="144" t="s">
        <v>110</v>
      </c>
    </row>
    <row r="187" spans="1:12" ht="80.099999999999994" customHeight="1" x14ac:dyDescent="0.3">
      <c r="A187" s="110"/>
      <c r="B187" s="111"/>
      <c r="C187" s="17" t="s">
        <v>73</v>
      </c>
      <c r="D187" s="144"/>
      <c r="E187" s="17" t="s">
        <v>73</v>
      </c>
      <c r="F187" s="144"/>
      <c r="G187" s="17" t="s">
        <v>73</v>
      </c>
      <c r="H187" s="144"/>
      <c r="I187" s="17" t="s">
        <v>73</v>
      </c>
      <c r="J187" s="144"/>
      <c r="K187" s="17" t="s">
        <v>73</v>
      </c>
      <c r="L187" s="144"/>
    </row>
    <row r="188" spans="1:12" ht="27" customHeight="1" x14ac:dyDescent="0.3">
      <c r="A188" s="126" t="s">
        <v>12</v>
      </c>
      <c r="B188" s="126" t="s">
        <v>13</v>
      </c>
      <c r="C188" s="124" t="s">
        <v>14</v>
      </c>
      <c r="D188" s="124"/>
      <c r="E188" s="124" t="s">
        <v>15</v>
      </c>
      <c r="F188" s="124"/>
      <c r="G188" s="124" t="s">
        <v>16</v>
      </c>
      <c r="H188" s="124"/>
      <c r="I188" s="124" t="s">
        <v>17</v>
      </c>
      <c r="J188" s="124"/>
      <c r="K188" s="124" t="s">
        <v>18</v>
      </c>
      <c r="L188" s="124"/>
    </row>
    <row r="189" spans="1:12" ht="27" customHeight="1" thickBot="1" x14ac:dyDescent="0.35">
      <c r="A189" s="127"/>
      <c r="B189" s="127"/>
      <c r="C189" s="125">
        <f>K171+3</f>
        <v>45985</v>
      </c>
      <c r="D189" s="125"/>
      <c r="E189" s="125">
        <f>C189+1</f>
        <v>45986</v>
      </c>
      <c r="F189" s="125"/>
      <c r="G189" s="125">
        <f>E189+1</f>
        <v>45987</v>
      </c>
      <c r="H189" s="125"/>
      <c r="I189" s="125">
        <f>G189+1</f>
        <v>45988</v>
      </c>
      <c r="J189" s="125"/>
      <c r="K189" s="125">
        <f>I189+1</f>
        <v>45989</v>
      </c>
      <c r="L189" s="125"/>
    </row>
    <row r="190" spans="1:12" ht="25.5" customHeight="1" thickTop="1" x14ac:dyDescent="0.3">
      <c r="A190" s="109">
        <v>1</v>
      </c>
      <c r="B190" s="119" t="s">
        <v>23</v>
      </c>
      <c r="C190" s="13" t="s">
        <v>58</v>
      </c>
      <c r="D190" s="149" t="s">
        <v>92</v>
      </c>
      <c r="E190" s="13" t="s">
        <v>58</v>
      </c>
      <c r="F190" s="149" t="s">
        <v>92</v>
      </c>
      <c r="G190" s="13" t="s">
        <v>58</v>
      </c>
      <c r="H190" s="149" t="s">
        <v>92</v>
      </c>
      <c r="I190" s="13" t="s">
        <v>58</v>
      </c>
      <c r="J190" s="149" t="s">
        <v>92</v>
      </c>
      <c r="K190" s="24" t="s">
        <v>66</v>
      </c>
      <c r="L190" s="148" t="s">
        <v>92</v>
      </c>
    </row>
    <row r="191" spans="1:12" ht="80.099999999999994" customHeight="1" x14ac:dyDescent="0.3">
      <c r="A191" s="110"/>
      <c r="B191" s="120"/>
      <c r="C191" s="13" t="s">
        <v>61</v>
      </c>
      <c r="D191" s="149"/>
      <c r="E191" s="13" t="s">
        <v>61</v>
      </c>
      <c r="F191" s="149"/>
      <c r="G191" s="13" t="s">
        <v>61</v>
      </c>
      <c r="H191" s="149"/>
      <c r="I191" s="13" t="s">
        <v>61</v>
      </c>
      <c r="J191" s="149"/>
      <c r="K191" s="24" t="s">
        <v>67</v>
      </c>
      <c r="L191" s="148"/>
    </row>
    <row r="192" spans="1:12" ht="25.5" customHeight="1" x14ac:dyDescent="0.3">
      <c r="A192" s="115">
        <v>2</v>
      </c>
      <c r="B192" s="118" t="s">
        <v>24</v>
      </c>
      <c r="C192" s="13" t="s">
        <v>58</v>
      </c>
      <c r="D192" s="149" t="s">
        <v>92</v>
      </c>
      <c r="E192" s="13" t="s">
        <v>58</v>
      </c>
      <c r="F192" s="149" t="s">
        <v>92</v>
      </c>
      <c r="G192" s="13" t="s">
        <v>58</v>
      </c>
      <c r="H192" s="149" t="s">
        <v>92</v>
      </c>
      <c r="I192" s="13" t="s">
        <v>58</v>
      </c>
      <c r="J192" s="149" t="s">
        <v>92</v>
      </c>
      <c r="K192" s="24" t="s">
        <v>66</v>
      </c>
      <c r="L192" s="148" t="s">
        <v>92</v>
      </c>
    </row>
    <row r="193" spans="1:12" ht="80.099999999999994" customHeight="1" x14ac:dyDescent="0.3">
      <c r="A193" s="115"/>
      <c r="B193" s="118"/>
      <c r="C193" s="13" t="s">
        <v>61</v>
      </c>
      <c r="D193" s="149"/>
      <c r="E193" s="13" t="s">
        <v>61</v>
      </c>
      <c r="F193" s="149"/>
      <c r="G193" s="13" t="s">
        <v>61</v>
      </c>
      <c r="H193" s="149"/>
      <c r="I193" s="13" t="s">
        <v>61</v>
      </c>
      <c r="J193" s="149"/>
      <c r="K193" s="24" t="s">
        <v>67</v>
      </c>
      <c r="L193" s="148"/>
    </row>
    <row r="194" spans="1:12" ht="25.5" customHeight="1" x14ac:dyDescent="0.3">
      <c r="A194" s="115">
        <v>3</v>
      </c>
      <c r="B194" s="118" t="s">
        <v>25</v>
      </c>
      <c r="C194" s="13" t="s">
        <v>58</v>
      </c>
      <c r="D194" s="149" t="s">
        <v>92</v>
      </c>
      <c r="E194" s="13" t="s">
        <v>58</v>
      </c>
      <c r="F194" s="149" t="s">
        <v>92</v>
      </c>
      <c r="G194" s="13" t="s">
        <v>58</v>
      </c>
      <c r="H194" s="149" t="s">
        <v>92</v>
      </c>
      <c r="I194" s="13" t="s">
        <v>58</v>
      </c>
      <c r="J194" s="149" t="s">
        <v>92</v>
      </c>
      <c r="K194" s="24" t="s">
        <v>66</v>
      </c>
      <c r="L194" s="148" t="s">
        <v>92</v>
      </c>
    </row>
    <row r="195" spans="1:12" ht="80.099999999999994" customHeight="1" x14ac:dyDescent="0.3">
      <c r="A195" s="115"/>
      <c r="B195" s="118"/>
      <c r="C195" s="13" t="s">
        <v>61</v>
      </c>
      <c r="D195" s="149"/>
      <c r="E195" s="13" t="s">
        <v>61</v>
      </c>
      <c r="F195" s="149"/>
      <c r="G195" s="13" t="s">
        <v>61</v>
      </c>
      <c r="H195" s="149"/>
      <c r="I195" s="13" t="s">
        <v>61</v>
      </c>
      <c r="J195" s="149"/>
      <c r="K195" s="24" t="s">
        <v>67</v>
      </c>
      <c r="L195" s="148"/>
    </row>
    <row r="196" spans="1:12" ht="25.5" customHeight="1" x14ac:dyDescent="0.3">
      <c r="A196" s="115">
        <v>4</v>
      </c>
      <c r="B196" s="118" t="s">
        <v>26</v>
      </c>
      <c r="C196" s="13" t="s">
        <v>58</v>
      </c>
      <c r="D196" s="149" t="s">
        <v>92</v>
      </c>
      <c r="E196" s="13" t="s">
        <v>58</v>
      </c>
      <c r="F196" s="149" t="s">
        <v>92</v>
      </c>
      <c r="G196" s="13" t="s">
        <v>58</v>
      </c>
      <c r="H196" s="149" t="s">
        <v>92</v>
      </c>
      <c r="I196" s="13" t="s">
        <v>58</v>
      </c>
      <c r="J196" s="149" t="s">
        <v>92</v>
      </c>
      <c r="K196" s="24" t="s">
        <v>66</v>
      </c>
      <c r="L196" s="148" t="s">
        <v>92</v>
      </c>
    </row>
    <row r="197" spans="1:12" ht="80.099999999999994" customHeight="1" x14ac:dyDescent="0.3">
      <c r="A197" s="115"/>
      <c r="B197" s="118"/>
      <c r="C197" s="13" t="s">
        <v>61</v>
      </c>
      <c r="D197" s="149"/>
      <c r="E197" s="13" t="s">
        <v>61</v>
      </c>
      <c r="F197" s="149"/>
      <c r="G197" s="13" t="s">
        <v>61</v>
      </c>
      <c r="H197" s="149"/>
      <c r="I197" s="13" t="s">
        <v>61</v>
      </c>
      <c r="J197" s="149"/>
      <c r="K197" s="24" t="s">
        <v>67</v>
      </c>
      <c r="L197" s="148"/>
    </row>
    <row r="198" spans="1:12" ht="25.5" customHeight="1" x14ac:dyDescent="0.3">
      <c r="A198" s="109">
        <v>5</v>
      </c>
      <c r="B198" s="111" t="s">
        <v>27</v>
      </c>
      <c r="C198" s="17" t="s">
        <v>70</v>
      </c>
      <c r="D198" s="144" t="s">
        <v>110</v>
      </c>
      <c r="E198" s="17" t="s">
        <v>70</v>
      </c>
      <c r="F198" s="144" t="s">
        <v>110</v>
      </c>
      <c r="G198" s="17" t="s">
        <v>70</v>
      </c>
      <c r="H198" s="144" t="s">
        <v>110</v>
      </c>
      <c r="I198" s="17" t="s">
        <v>70</v>
      </c>
      <c r="J198" s="144" t="s">
        <v>110</v>
      </c>
      <c r="K198" s="17" t="s">
        <v>70</v>
      </c>
      <c r="L198" s="144" t="s">
        <v>110</v>
      </c>
    </row>
    <row r="199" spans="1:12" ht="80.099999999999994" customHeight="1" x14ac:dyDescent="0.3">
      <c r="A199" s="110"/>
      <c r="B199" s="111"/>
      <c r="C199" s="17" t="s">
        <v>73</v>
      </c>
      <c r="D199" s="144"/>
      <c r="E199" s="17" t="s">
        <v>73</v>
      </c>
      <c r="F199" s="144"/>
      <c r="G199" s="17" t="s">
        <v>73</v>
      </c>
      <c r="H199" s="144"/>
      <c r="I199" s="17" t="s">
        <v>73</v>
      </c>
      <c r="J199" s="144"/>
      <c r="K199" s="17" t="s">
        <v>73</v>
      </c>
      <c r="L199" s="144"/>
    </row>
    <row r="200" spans="1:12" ht="25.5" customHeight="1" x14ac:dyDescent="0.3">
      <c r="A200" s="109">
        <v>6</v>
      </c>
      <c r="B200" s="111" t="s">
        <v>28</v>
      </c>
      <c r="C200" s="17" t="s">
        <v>70</v>
      </c>
      <c r="D200" s="144" t="s">
        <v>110</v>
      </c>
      <c r="E200" s="17" t="s">
        <v>70</v>
      </c>
      <c r="F200" s="144" t="s">
        <v>110</v>
      </c>
      <c r="G200" s="17" t="s">
        <v>70</v>
      </c>
      <c r="H200" s="144" t="s">
        <v>110</v>
      </c>
      <c r="I200" s="17" t="s">
        <v>70</v>
      </c>
      <c r="J200" s="144" t="s">
        <v>110</v>
      </c>
      <c r="K200" s="17" t="s">
        <v>70</v>
      </c>
      <c r="L200" s="144" t="s">
        <v>110</v>
      </c>
    </row>
    <row r="201" spans="1:12" ht="80.099999999999994" customHeight="1" x14ac:dyDescent="0.3">
      <c r="A201" s="110"/>
      <c r="B201" s="111"/>
      <c r="C201" s="17" t="s">
        <v>73</v>
      </c>
      <c r="D201" s="144"/>
      <c r="E201" s="17" t="s">
        <v>73</v>
      </c>
      <c r="F201" s="144"/>
      <c r="G201" s="17" t="s">
        <v>73</v>
      </c>
      <c r="H201" s="144"/>
      <c r="I201" s="17" t="s">
        <v>73</v>
      </c>
      <c r="J201" s="144"/>
      <c r="K201" s="17" t="s">
        <v>73</v>
      </c>
      <c r="L201" s="144"/>
    </row>
    <row r="202" spans="1:12" ht="25.5" customHeight="1" x14ac:dyDescent="0.3">
      <c r="A202" s="109">
        <v>7</v>
      </c>
      <c r="B202" s="111" t="s">
        <v>29</v>
      </c>
      <c r="C202" s="17" t="s">
        <v>70</v>
      </c>
      <c r="D202" s="144" t="s">
        <v>110</v>
      </c>
      <c r="E202" s="17" t="s">
        <v>70</v>
      </c>
      <c r="F202" s="144" t="s">
        <v>110</v>
      </c>
      <c r="G202" s="17" t="s">
        <v>70</v>
      </c>
      <c r="H202" s="144" t="s">
        <v>110</v>
      </c>
      <c r="I202" s="17" t="s">
        <v>70</v>
      </c>
      <c r="J202" s="144" t="s">
        <v>110</v>
      </c>
      <c r="K202" s="17" t="s">
        <v>70</v>
      </c>
      <c r="L202" s="144" t="s">
        <v>110</v>
      </c>
    </row>
    <row r="203" spans="1:12" ht="80.099999999999994" customHeight="1" x14ac:dyDescent="0.3">
      <c r="A203" s="110"/>
      <c r="B203" s="111"/>
      <c r="C203" s="17" t="s">
        <v>73</v>
      </c>
      <c r="D203" s="144"/>
      <c r="E203" s="17" t="s">
        <v>73</v>
      </c>
      <c r="F203" s="144"/>
      <c r="G203" s="17" t="s">
        <v>73</v>
      </c>
      <c r="H203" s="144"/>
      <c r="I203" s="17" t="s">
        <v>73</v>
      </c>
      <c r="J203" s="144"/>
      <c r="K203" s="17" t="s">
        <v>73</v>
      </c>
      <c r="L203" s="144"/>
    </row>
    <row r="204" spans="1:12" ht="25.5" customHeight="1" x14ac:dyDescent="0.3">
      <c r="A204" s="109">
        <v>8</v>
      </c>
      <c r="B204" s="111" t="s">
        <v>40</v>
      </c>
      <c r="C204" s="17" t="s">
        <v>70</v>
      </c>
      <c r="D204" s="144" t="s">
        <v>110</v>
      </c>
      <c r="E204" s="17" t="s">
        <v>70</v>
      </c>
      <c r="F204" s="144" t="s">
        <v>110</v>
      </c>
      <c r="G204" s="17" t="s">
        <v>70</v>
      </c>
      <c r="H204" s="144" t="s">
        <v>110</v>
      </c>
      <c r="I204" s="17" t="s">
        <v>70</v>
      </c>
      <c r="J204" s="144" t="s">
        <v>110</v>
      </c>
      <c r="K204" s="17" t="s">
        <v>70</v>
      </c>
      <c r="L204" s="144" t="s">
        <v>110</v>
      </c>
    </row>
    <row r="205" spans="1:12" ht="80.099999999999994" customHeight="1" x14ac:dyDescent="0.3">
      <c r="A205" s="110"/>
      <c r="B205" s="111"/>
      <c r="C205" s="17" t="s">
        <v>73</v>
      </c>
      <c r="D205" s="144"/>
      <c r="E205" s="17" t="s">
        <v>73</v>
      </c>
      <c r="F205" s="144"/>
      <c r="G205" s="17" t="s">
        <v>73</v>
      </c>
      <c r="H205" s="144"/>
      <c r="I205" s="17" t="s">
        <v>73</v>
      </c>
      <c r="J205" s="144"/>
      <c r="K205" s="17" t="s">
        <v>73</v>
      </c>
      <c r="L205" s="144"/>
    </row>
    <row r="206" spans="1:12" ht="27" customHeight="1" x14ac:dyDescent="0.3">
      <c r="A206" s="126" t="s">
        <v>12</v>
      </c>
      <c r="B206" s="126" t="s">
        <v>13</v>
      </c>
      <c r="C206" s="124" t="s">
        <v>14</v>
      </c>
      <c r="D206" s="124"/>
      <c r="E206" s="124" t="s">
        <v>15</v>
      </c>
      <c r="F206" s="124"/>
      <c r="G206" s="124" t="s">
        <v>16</v>
      </c>
      <c r="H206" s="124"/>
      <c r="I206" s="124" t="s">
        <v>17</v>
      </c>
      <c r="J206" s="124"/>
      <c r="K206" s="124" t="s">
        <v>18</v>
      </c>
      <c r="L206" s="124"/>
    </row>
    <row r="207" spans="1:12" ht="27" customHeight="1" thickBot="1" x14ac:dyDescent="0.35">
      <c r="A207" s="127"/>
      <c r="B207" s="127"/>
      <c r="C207" s="125">
        <f>K189+3</f>
        <v>45992</v>
      </c>
      <c r="D207" s="125"/>
      <c r="E207" s="125">
        <f>C207+1</f>
        <v>45993</v>
      </c>
      <c r="F207" s="125"/>
      <c r="G207" s="125">
        <f>E207+1</f>
        <v>45994</v>
      </c>
      <c r="H207" s="125"/>
      <c r="I207" s="125">
        <f>G207+1</f>
        <v>45995</v>
      </c>
      <c r="J207" s="125"/>
      <c r="K207" s="125">
        <f>I207+1</f>
        <v>45996</v>
      </c>
      <c r="L207" s="125"/>
    </row>
    <row r="208" spans="1:12" ht="25.5" customHeight="1" thickTop="1" x14ac:dyDescent="0.3">
      <c r="A208" s="109">
        <v>1</v>
      </c>
      <c r="B208" s="119" t="s">
        <v>23</v>
      </c>
      <c r="C208" s="24" t="s">
        <v>66</v>
      </c>
      <c r="D208" s="148" t="s">
        <v>92</v>
      </c>
      <c r="E208" s="24" t="s">
        <v>66</v>
      </c>
      <c r="F208" s="148" t="s">
        <v>92</v>
      </c>
      <c r="G208" s="24" t="s">
        <v>66</v>
      </c>
      <c r="H208" s="148" t="s">
        <v>92</v>
      </c>
      <c r="I208" s="24" t="s">
        <v>66</v>
      </c>
      <c r="J208" s="148" t="s">
        <v>92</v>
      </c>
      <c r="K208" s="24" t="s">
        <v>66</v>
      </c>
      <c r="L208" s="148" t="s">
        <v>92</v>
      </c>
    </row>
    <row r="209" spans="1:12" ht="80.099999999999994" customHeight="1" x14ac:dyDescent="0.3">
      <c r="A209" s="110"/>
      <c r="B209" s="120"/>
      <c r="C209" s="24" t="s">
        <v>67</v>
      </c>
      <c r="D209" s="148"/>
      <c r="E209" s="24" t="s">
        <v>67</v>
      </c>
      <c r="F209" s="148"/>
      <c r="G209" s="24" t="s">
        <v>67</v>
      </c>
      <c r="H209" s="148"/>
      <c r="I209" s="24" t="s">
        <v>67</v>
      </c>
      <c r="J209" s="148"/>
      <c r="K209" s="24" t="s">
        <v>67</v>
      </c>
      <c r="L209" s="148"/>
    </row>
    <row r="210" spans="1:12" ht="25.5" customHeight="1" x14ac:dyDescent="0.3">
      <c r="A210" s="115">
        <v>2</v>
      </c>
      <c r="B210" s="118" t="s">
        <v>24</v>
      </c>
      <c r="C210" s="24" t="s">
        <v>66</v>
      </c>
      <c r="D210" s="148" t="s">
        <v>92</v>
      </c>
      <c r="E210" s="24" t="s">
        <v>66</v>
      </c>
      <c r="F210" s="148" t="s">
        <v>92</v>
      </c>
      <c r="G210" s="24" t="s">
        <v>66</v>
      </c>
      <c r="H210" s="148" t="s">
        <v>92</v>
      </c>
      <c r="I210" s="24" t="s">
        <v>66</v>
      </c>
      <c r="J210" s="148" t="s">
        <v>92</v>
      </c>
      <c r="K210" s="24" t="s">
        <v>66</v>
      </c>
      <c r="L210" s="148" t="s">
        <v>92</v>
      </c>
    </row>
    <row r="211" spans="1:12" ht="80.099999999999994" customHeight="1" x14ac:dyDescent="0.3">
      <c r="A211" s="115"/>
      <c r="B211" s="118"/>
      <c r="C211" s="24" t="s">
        <v>67</v>
      </c>
      <c r="D211" s="148"/>
      <c r="E211" s="24" t="s">
        <v>67</v>
      </c>
      <c r="F211" s="148"/>
      <c r="G211" s="24" t="s">
        <v>67</v>
      </c>
      <c r="H211" s="148"/>
      <c r="I211" s="24" t="s">
        <v>67</v>
      </c>
      <c r="J211" s="148"/>
      <c r="K211" s="24" t="s">
        <v>67</v>
      </c>
      <c r="L211" s="148"/>
    </row>
    <row r="212" spans="1:12" ht="25.5" customHeight="1" x14ac:dyDescent="0.3">
      <c r="A212" s="115">
        <v>3</v>
      </c>
      <c r="B212" s="118" t="s">
        <v>25</v>
      </c>
      <c r="C212" s="24" t="s">
        <v>66</v>
      </c>
      <c r="D212" s="148" t="s">
        <v>92</v>
      </c>
      <c r="E212" s="24" t="s">
        <v>66</v>
      </c>
      <c r="F212" s="148" t="s">
        <v>92</v>
      </c>
      <c r="G212" s="24" t="s">
        <v>66</v>
      </c>
      <c r="H212" s="148" t="s">
        <v>92</v>
      </c>
      <c r="I212" s="24" t="s">
        <v>66</v>
      </c>
      <c r="J212" s="148" t="s">
        <v>92</v>
      </c>
      <c r="K212" s="24" t="s">
        <v>66</v>
      </c>
      <c r="L212" s="148" t="s">
        <v>92</v>
      </c>
    </row>
    <row r="213" spans="1:12" ht="80.099999999999994" customHeight="1" x14ac:dyDescent="0.3">
      <c r="A213" s="115"/>
      <c r="B213" s="118"/>
      <c r="C213" s="24" t="s">
        <v>67</v>
      </c>
      <c r="D213" s="148"/>
      <c r="E213" s="24" t="s">
        <v>67</v>
      </c>
      <c r="F213" s="148"/>
      <c r="G213" s="24" t="s">
        <v>67</v>
      </c>
      <c r="H213" s="148"/>
      <c r="I213" s="24" t="s">
        <v>67</v>
      </c>
      <c r="J213" s="148"/>
      <c r="K213" s="24" t="s">
        <v>67</v>
      </c>
      <c r="L213" s="148"/>
    </row>
    <row r="214" spans="1:12" ht="25.5" customHeight="1" x14ac:dyDescent="0.3">
      <c r="A214" s="115">
        <v>4</v>
      </c>
      <c r="B214" s="118" t="s">
        <v>26</v>
      </c>
      <c r="C214" s="24" t="s">
        <v>66</v>
      </c>
      <c r="D214" s="148" t="s">
        <v>92</v>
      </c>
      <c r="E214" s="24" t="s">
        <v>66</v>
      </c>
      <c r="F214" s="148" t="s">
        <v>92</v>
      </c>
      <c r="G214" s="24" t="s">
        <v>66</v>
      </c>
      <c r="H214" s="148" t="s">
        <v>92</v>
      </c>
      <c r="I214" s="24" t="s">
        <v>66</v>
      </c>
      <c r="J214" s="148" t="s">
        <v>92</v>
      </c>
      <c r="K214" s="24" t="s">
        <v>66</v>
      </c>
      <c r="L214" s="148" t="s">
        <v>92</v>
      </c>
    </row>
    <row r="215" spans="1:12" ht="80.099999999999994" customHeight="1" x14ac:dyDescent="0.3">
      <c r="A215" s="115"/>
      <c r="B215" s="118"/>
      <c r="C215" s="24" t="s">
        <v>67</v>
      </c>
      <c r="D215" s="148"/>
      <c r="E215" s="24" t="s">
        <v>67</v>
      </c>
      <c r="F215" s="148"/>
      <c r="G215" s="24" t="s">
        <v>67</v>
      </c>
      <c r="H215" s="148"/>
      <c r="I215" s="24" t="s">
        <v>67</v>
      </c>
      <c r="J215" s="148"/>
      <c r="K215" s="24" t="s">
        <v>67</v>
      </c>
      <c r="L215" s="148"/>
    </row>
    <row r="216" spans="1:12" ht="25.5" customHeight="1" x14ac:dyDescent="0.3">
      <c r="A216" s="109">
        <v>5</v>
      </c>
      <c r="B216" s="111" t="s">
        <v>27</v>
      </c>
      <c r="C216" s="17" t="s">
        <v>70</v>
      </c>
      <c r="D216" s="144" t="s">
        <v>110</v>
      </c>
      <c r="E216" s="17" t="s">
        <v>70</v>
      </c>
      <c r="F216" s="144" t="s">
        <v>110</v>
      </c>
      <c r="G216" s="15" t="s">
        <v>70</v>
      </c>
      <c r="H216" s="107" t="s">
        <v>110</v>
      </c>
      <c r="I216" s="15" t="s">
        <v>70</v>
      </c>
      <c r="J216" s="107" t="s">
        <v>110</v>
      </c>
      <c r="K216" s="15" t="s">
        <v>70</v>
      </c>
      <c r="L216" s="107" t="s">
        <v>110</v>
      </c>
    </row>
    <row r="217" spans="1:12" ht="80.099999999999994" customHeight="1" x14ac:dyDescent="0.3">
      <c r="A217" s="110"/>
      <c r="B217" s="111"/>
      <c r="C217" s="17" t="s">
        <v>73</v>
      </c>
      <c r="D217" s="144"/>
      <c r="E217" s="17" t="s">
        <v>73</v>
      </c>
      <c r="F217" s="144"/>
      <c r="G217" s="101" t="s">
        <v>71</v>
      </c>
      <c r="H217" s="107"/>
      <c r="I217" s="101" t="s">
        <v>71</v>
      </c>
      <c r="J217" s="107"/>
      <c r="K217" s="101" t="s">
        <v>71</v>
      </c>
      <c r="L217" s="107"/>
    </row>
    <row r="218" spans="1:12" ht="25.5" customHeight="1" x14ac:dyDescent="0.3">
      <c r="A218" s="109">
        <v>6</v>
      </c>
      <c r="B218" s="111" t="s">
        <v>28</v>
      </c>
      <c r="C218" s="17" t="s">
        <v>70</v>
      </c>
      <c r="D218" s="144" t="s">
        <v>110</v>
      </c>
      <c r="E218" s="17" t="s">
        <v>70</v>
      </c>
      <c r="F218" s="144" t="s">
        <v>110</v>
      </c>
      <c r="G218" s="15" t="s">
        <v>70</v>
      </c>
      <c r="H218" s="107" t="s">
        <v>110</v>
      </c>
      <c r="I218" s="15" t="s">
        <v>70</v>
      </c>
      <c r="J218" s="107" t="s">
        <v>110</v>
      </c>
      <c r="K218" s="15" t="s">
        <v>70</v>
      </c>
      <c r="L218" s="107" t="s">
        <v>110</v>
      </c>
    </row>
    <row r="219" spans="1:12" ht="80.099999999999994" customHeight="1" x14ac:dyDescent="0.3">
      <c r="A219" s="110"/>
      <c r="B219" s="111"/>
      <c r="C219" s="17" t="s">
        <v>73</v>
      </c>
      <c r="D219" s="144"/>
      <c r="E219" s="17" t="s">
        <v>73</v>
      </c>
      <c r="F219" s="144"/>
      <c r="G219" s="101" t="s">
        <v>71</v>
      </c>
      <c r="H219" s="107"/>
      <c r="I219" s="101" t="s">
        <v>71</v>
      </c>
      <c r="J219" s="107"/>
      <c r="K219" s="101" t="s">
        <v>71</v>
      </c>
      <c r="L219" s="107"/>
    </row>
    <row r="220" spans="1:12" ht="25.5" customHeight="1" x14ac:dyDescent="0.3">
      <c r="A220" s="109">
        <v>7</v>
      </c>
      <c r="B220" s="111" t="s">
        <v>29</v>
      </c>
      <c r="C220" s="17" t="s">
        <v>70</v>
      </c>
      <c r="D220" s="144" t="s">
        <v>110</v>
      </c>
      <c r="E220" s="17" t="s">
        <v>70</v>
      </c>
      <c r="F220" s="144" t="s">
        <v>110</v>
      </c>
      <c r="G220" s="15" t="s">
        <v>70</v>
      </c>
      <c r="H220" s="107" t="s">
        <v>110</v>
      </c>
      <c r="I220" s="15" t="s">
        <v>70</v>
      </c>
      <c r="J220" s="107" t="s">
        <v>110</v>
      </c>
      <c r="K220" s="15" t="s">
        <v>70</v>
      </c>
      <c r="L220" s="107" t="s">
        <v>110</v>
      </c>
    </row>
    <row r="221" spans="1:12" ht="80.099999999999994" customHeight="1" x14ac:dyDescent="0.3">
      <c r="A221" s="110"/>
      <c r="B221" s="111"/>
      <c r="C221" s="17" t="s">
        <v>73</v>
      </c>
      <c r="D221" s="144"/>
      <c r="E221" s="17" t="s">
        <v>73</v>
      </c>
      <c r="F221" s="144"/>
      <c r="G221" s="101" t="s">
        <v>71</v>
      </c>
      <c r="H221" s="107"/>
      <c r="I221" s="101" t="s">
        <v>71</v>
      </c>
      <c r="J221" s="107"/>
      <c r="K221" s="101" t="s">
        <v>71</v>
      </c>
      <c r="L221" s="107"/>
    </row>
    <row r="222" spans="1:12" ht="25.5" customHeight="1" x14ac:dyDescent="0.3">
      <c r="A222" s="109">
        <v>8</v>
      </c>
      <c r="B222" s="111" t="s">
        <v>40</v>
      </c>
      <c r="C222" s="17" t="s">
        <v>70</v>
      </c>
      <c r="D222" s="144" t="s">
        <v>110</v>
      </c>
      <c r="E222" s="15" t="s">
        <v>70</v>
      </c>
      <c r="F222" s="107" t="s">
        <v>110</v>
      </c>
      <c r="G222" s="15" t="s">
        <v>70</v>
      </c>
      <c r="H222" s="107" t="s">
        <v>110</v>
      </c>
      <c r="I222" s="15" t="s">
        <v>70</v>
      </c>
      <c r="J222" s="107" t="s">
        <v>110</v>
      </c>
      <c r="K222" s="15" t="s">
        <v>70</v>
      </c>
      <c r="L222" s="107" t="s">
        <v>110</v>
      </c>
    </row>
    <row r="223" spans="1:12" ht="80.099999999999994" customHeight="1" x14ac:dyDescent="0.3">
      <c r="A223" s="110"/>
      <c r="B223" s="111"/>
      <c r="C223" s="17" t="s">
        <v>73</v>
      </c>
      <c r="D223" s="144"/>
      <c r="E223" s="101" t="s">
        <v>71</v>
      </c>
      <c r="F223" s="107"/>
      <c r="G223" s="101" t="s">
        <v>71</v>
      </c>
      <c r="H223" s="107"/>
      <c r="I223" s="101" t="s">
        <v>71</v>
      </c>
      <c r="J223" s="107"/>
      <c r="K223" s="101" t="s">
        <v>71</v>
      </c>
      <c r="L223" s="107"/>
    </row>
    <row r="224" spans="1:12" ht="27" customHeight="1" x14ac:dyDescent="0.3">
      <c r="A224" s="126" t="s">
        <v>12</v>
      </c>
      <c r="B224" s="126" t="s">
        <v>13</v>
      </c>
      <c r="C224" s="124" t="s">
        <v>14</v>
      </c>
      <c r="D224" s="124"/>
      <c r="E224" s="124" t="s">
        <v>15</v>
      </c>
      <c r="F224" s="124"/>
      <c r="G224" s="124" t="s">
        <v>16</v>
      </c>
      <c r="H224" s="124"/>
      <c r="I224" s="124" t="s">
        <v>17</v>
      </c>
      <c r="J224" s="124"/>
      <c r="K224" s="124" t="s">
        <v>18</v>
      </c>
      <c r="L224" s="124"/>
    </row>
    <row r="225" spans="1:12" ht="27" customHeight="1" thickBot="1" x14ac:dyDescent="0.35">
      <c r="A225" s="127"/>
      <c r="B225" s="127"/>
      <c r="C225" s="125">
        <f>K207+3</f>
        <v>45999</v>
      </c>
      <c r="D225" s="125"/>
      <c r="E225" s="125">
        <f>C225+1</f>
        <v>46000</v>
      </c>
      <c r="F225" s="125"/>
      <c r="G225" s="125">
        <f>E225+1</f>
        <v>46001</v>
      </c>
      <c r="H225" s="125"/>
      <c r="I225" s="125">
        <f>G225+1</f>
        <v>46002</v>
      </c>
      <c r="J225" s="125"/>
      <c r="K225" s="125">
        <f>I225+1</f>
        <v>46003</v>
      </c>
      <c r="L225" s="125"/>
    </row>
    <row r="226" spans="1:12" ht="25.5" customHeight="1" thickTop="1" x14ac:dyDescent="0.3">
      <c r="A226" s="109">
        <v>1</v>
      </c>
      <c r="B226" s="119" t="s">
        <v>23</v>
      </c>
      <c r="C226" s="24" t="s">
        <v>66</v>
      </c>
      <c r="D226" s="148" t="s">
        <v>92</v>
      </c>
      <c r="E226" s="24" t="s">
        <v>66</v>
      </c>
      <c r="F226" s="148" t="s">
        <v>92</v>
      </c>
      <c r="G226" s="24" t="s">
        <v>66</v>
      </c>
      <c r="H226" s="148" t="s">
        <v>92</v>
      </c>
      <c r="I226" s="24" t="s">
        <v>66</v>
      </c>
      <c r="J226" s="148" t="s">
        <v>92</v>
      </c>
      <c r="K226" s="24" t="s">
        <v>66</v>
      </c>
      <c r="L226" s="148" t="s">
        <v>92</v>
      </c>
    </row>
    <row r="227" spans="1:12" ht="80.099999999999994" customHeight="1" x14ac:dyDescent="0.3">
      <c r="A227" s="110"/>
      <c r="B227" s="120"/>
      <c r="C227" s="24" t="s">
        <v>67</v>
      </c>
      <c r="D227" s="148"/>
      <c r="E227" s="24" t="s">
        <v>67</v>
      </c>
      <c r="F227" s="148"/>
      <c r="G227" s="24" t="s">
        <v>67</v>
      </c>
      <c r="H227" s="148"/>
      <c r="I227" s="24" t="s">
        <v>67</v>
      </c>
      <c r="J227" s="148"/>
      <c r="K227" s="24" t="s">
        <v>67</v>
      </c>
      <c r="L227" s="148"/>
    </row>
    <row r="228" spans="1:12" ht="25.5" customHeight="1" x14ac:dyDescent="0.3">
      <c r="A228" s="115">
        <v>2</v>
      </c>
      <c r="B228" s="118" t="s">
        <v>24</v>
      </c>
      <c r="C228" s="24" t="s">
        <v>66</v>
      </c>
      <c r="D228" s="148" t="s">
        <v>92</v>
      </c>
      <c r="E228" s="24" t="s">
        <v>66</v>
      </c>
      <c r="F228" s="148" t="s">
        <v>92</v>
      </c>
      <c r="G228" s="24" t="s">
        <v>66</v>
      </c>
      <c r="H228" s="148" t="s">
        <v>92</v>
      </c>
      <c r="I228" s="24" t="s">
        <v>66</v>
      </c>
      <c r="J228" s="148" t="s">
        <v>92</v>
      </c>
      <c r="K228" s="24" t="s">
        <v>66</v>
      </c>
      <c r="L228" s="148" t="s">
        <v>92</v>
      </c>
    </row>
    <row r="229" spans="1:12" ht="80.099999999999994" customHeight="1" x14ac:dyDescent="0.3">
      <c r="A229" s="115"/>
      <c r="B229" s="118"/>
      <c r="C229" s="24" t="s">
        <v>67</v>
      </c>
      <c r="D229" s="148"/>
      <c r="E229" s="24" t="s">
        <v>67</v>
      </c>
      <c r="F229" s="148"/>
      <c r="G229" s="24" t="s">
        <v>67</v>
      </c>
      <c r="H229" s="148"/>
      <c r="I229" s="24" t="s">
        <v>67</v>
      </c>
      <c r="J229" s="148"/>
      <c r="K229" s="24" t="s">
        <v>67</v>
      </c>
      <c r="L229" s="148"/>
    </row>
    <row r="230" spans="1:12" ht="25.5" customHeight="1" x14ac:dyDescent="0.3">
      <c r="A230" s="115">
        <v>3</v>
      </c>
      <c r="B230" s="118" t="s">
        <v>25</v>
      </c>
      <c r="C230" s="24" t="s">
        <v>66</v>
      </c>
      <c r="D230" s="148" t="s">
        <v>92</v>
      </c>
      <c r="E230" s="24" t="s">
        <v>66</v>
      </c>
      <c r="F230" s="148" t="s">
        <v>92</v>
      </c>
      <c r="G230" s="24" t="s">
        <v>66</v>
      </c>
      <c r="H230" s="148" t="s">
        <v>92</v>
      </c>
      <c r="I230" s="24" t="s">
        <v>66</v>
      </c>
      <c r="J230" s="148" t="s">
        <v>92</v>
      </c>
      <c r="K230" s="24" t="s">
        <v>66</v>
      </c>
      <c r="L230" s="148" t="s">
        <v>92</v>
      </c>
    </row>
    <row r="231" spans="1:12" ht="80.099999999999994" customHeight="1" x14ac:dyDescent="0.3">
      <c r="A231" s="115"/>
      <c r="B231" s="118"/>
      <c r="C231" s="24" t="s">
        <v>67</v>
      </c>
      <c r="D231" s="148"/>
      <c r="E231" s="24" t="s">
        <v>67</v>
      </c>
      <c r="F231" s="148"/>
      <c r="G231" s="24" t="s">
        <v>67</v>
      </c>
      <c r="H231" s="148"/>
      <c r="I231" s="24" t="s">
        <v>67</v>
      </c>
      <c r="J231" s="148"/>
      <c r="K231" s="24" t="s">
        <v>67</v>
      </c>
      <c r="L231" s="148"/>
    </row>
    <row r="232" spans="1:12" ht="25.5" customHeight="1" x14ac:dyDescent="0.3">
      <c r="A232" s="115">
        <v>4</v>
      </c>
      <c r="B232" s="118" t="s">
        <v>26</v>
      </c>
      <c r="C232" s="24" t="s">
        <v>66</v>
      </c>
      <c r="D232" s="148" t="s">
        <v>92</v>
      </c>
      <c r="E232" s="24" t="s">
        <v>66</v>
      </c>
      <c r="F232" s="148" t="s">
        <v>92</v>
      </c>
      <c r="G232" s="24" t="s">
        <v>66</v>
      </c>
      <c r="H232" s="148" t="s">
        <v>92</v>
      </c>
      <c r="I232" s="24" t="s">
        <v>66</v>
      </c>
      <c r="J232" s="148" t="s">
        <v>92</v>
      </c>
      <c r="K232" s="24" t="s">
        <v>66</v>
      </c>
      <c r="L232" s="148" t="s">
        <v>92</v>
      </c>
    </row>
    <row r="233" spans="1:12" ht="80.099999999999994" customHeight="1" x14ac:dyDescent="0.3">
      <c r="A233" s="115"/>
      <c r="B233" s="118"/>
      <c r="C233" s="24" t="s">
        <v>67</v>
      </c>
      <c r="D233" s="148"/>
      <c r="E233" s="24" t="s">
        <v>67</v>
      </c>
      <c r="F233" s="148"/>
      <c r="G233" s="24" t="s">
        <v>67</v>
      </c>
      <c r="H233" s="148"/>
      <c r="I233" s="24" t="s">
        <v>67</v>
      </c>
      <c r="J233" s="148"/>
      <c r="K233" s="24" t="s">
        <v>67</v>
      </c>
      <c r="L233" s="148"/>
    </row>
    <row r="234" spans="1:12" ht="25.5" customHeight="1" x14ac:dyDescent="0.3">
      <c r="A234" s="109">
        <v>5</v>
      </c>
      <c r="B234" s="111" t="s">
        <v>27</v>
      </c>
      <c r="C234" s="15" t="s">
        <v>70</v>
      </c>
      <c r="D234" s="107" t="s">
        <v>110</v>
      </c>
      <c r="E234" s="15" t="s">
        <v>70</v>
      </c>
      <c r="F234" s="107" t="s">
        <v>110</v>
      </c>
      <c r="G234" s="15" t="s">
        <v>70</v>
      </c>
      <c r="H234" s="107" t="s">
        <v>110</v>
      </c>
      <c r="I234" s="15" t="s">
        <v>70</v>
      </c>
      <c r="J234" s="107" t="s">
        <v>110</v>
      </c>
      <c r="K234" s="15" t="s">
        <v>70</v>
      </c>
      <c r="L234" s="107" t="s">
        <v>110</v>
      </c>
    </row>
    <row r="235" spans="1:12" ht="80.099999999999994" customHeight="1" x14ac:dyDescent="0.3">
      <c r="A235" s="110"/>
      <c r="B235" s="111"/>
      <c r="C235" s="101" t="s">
        <v>71</v>
      </c>
      <c r="D235" s="107"/>
      <c r="E235" s="101" t="s">
        <v>71</v>
      </c>
      <c r="F235" s="107"/>
      <c r="G235" s="101" t="s">
        <v>71</v>
      </c>
      <c r="H235" s="107"/>
      <c r="I235" s="101" t="s">
        <v>71</v>
      </c>
      <c r="J235" s="107"/>
      <c r="K235" s="101" t="s">
        <v>71</v>
      </c>
      <c r="L235" s="107"/>
    </row>
    <row r="236" spans="1:12" ht="25.5" customHeight="1" x14ac:dyDescent="0.3">
      <c r="A236" s="109">
        <v>6</v>
      </c>
      <c r="B236" s="111" t="s">
        <v>28</v>
      </c>
      <c r="C236" s="15" t="s">
        <v>70</v>
      </c>
      <c r="D236" s="107" t="s">
        <v>110</v>
      </c>
      <c r="E236" s="15" t="s">
        <v>70</v>
      </c>
      <c r="F236" s="107" t="s">
        <v>110</v>
      </c>
      <c r="G236" s="15" t="s">
        <v>70</v>
      </c>
      <c r="H236" s="107" t="s">
        <v>110</v>
      </c>
      <c r="I236" s="15" t="s">
        <v>70</v>
      </c>
      <c r="J236" s="107" t="s">
        <v>110</v>
      </c>
      <c r="K236" s="15" t="s">
        <v>70</v>
      </c>
      <c r="L236" s="107" t="s">
        <v>110</v>
      </c>
    </row>
    <row r="237" spans="1:12" ht="80.099999999999994" customHeight="1" x14ac:dyDescent="0.3">
      <c r="A237" s="110"/>
      <c r="B237" s="111"/>
      <c r="C237" s="101" t="s">
        <v>71</v>
      </c>
      <c r="D237" s="107"/>
      <c r="E237" s="101" t="s">
        <v>71</v>
      </c>
      <c r="F237" s="107"/>
      <c r="G237" s="101" t="s">
        <v>71</v>
      </c>
      <c r="H237" s="107"/>
      <c r="I237" s="101" t="s">
        <v>71</v>
      </c>
      <c r="J237" s="107"/>
      <c r="K237" s="101" t="s">
        <v>71</v>
      </c>
      <c r="L237" s="107"/>
    </row>
    <row r="238" spans="1:12" ht="25.5" customHeight="1" x14ac:dyDescent="0.3">
      <c r="A238" s="109">
        <v>7</v>
      </c>
      <c r="B238" s="111" t="s">
        <v>29</v>
      </c>
      <c r="C238" s="15" t="s">
        <v>70</v>
      </c>
      <c r="D238" s="107" t="s">
        <v>110</v>
      </c>
      <c r="E238" s="15" t="s">
        <v>70</v>
      </c>
      <c r="F238" s="107" t="s">
        <v>110</v>
      </c>
      <c r="G238" s="15" t="s">
        <v>70</v>
      </c>
      <c r="H238" s="107" t="s">
        <v>110</v>
      </c>
      <c r="I238" s="15" t="s">
        <v>70</v>
      </c>
      <c r="J238" s="107" t="s">
        <v>110</v>
      </c>
      <c r="K238" s="15" t="s">
        <v>70</v>
      </c>
      <c r="L238" s="107" t="s">
        <v>110</v>
      </c>
    </row>
    <row r="239" spans="1:12" ht="80.099999999999994" customHeight="1" x14ac:dyDescent="0.3">
      <c r="A239" s="110"/>
      <c r="B239" s="111"/>
      <c r="C239" s="101" t="s">
        <v>71</v>
      </c>
      <c r="D239" s="107"/>
      <c r="E239" s="101" t="s">
        <v>71</v>
      </c>
      <c r="F239" s="107"/>
      <c r="G239" s="101" t="s">
        <v>71</v>
      </c>
      <c r="H239" s="107"/>
      <c r="I239" s="101" t="s">
        <v>71</v>
      </c>
      <c r="J239" s="107"/>
      <c r="K239" s="101" t="s">
        <v>71</v>
      </c>
      <c r="L239" s="107"/>
    </row>
    <row r="240" spans="1:12" ht="25.5" customHeight="1" x14ac:dyDescent="0.3">
      <c r="A240" s="109">
        <v>8</v>
      </c>
      <c r="B240" s="111" t="s">
        <v>40</v>
      </c>
      <c r="C240" s="15" t="s">
        <v>70</v>
      </c>
      <c r="D240" s="107" t="s">
        <v>110</v>
      </c>
      <c r="E240" s="15" t="s">
        <v>70</v>
      </c>
      <c r="F240" s="107" t="s">
        <v>110</v>
      </c>
      <c r="G240" s="15" t="s">
        <v>70</v>
      </c>
      <c r="H240" s="107" t="s">
        <v>110</v>
      </c>
      <c r="I240" s="15" t="s">
        <v>70</v>
      </c>
      <c r="J240" s="107" t="s">
        <v>110</v>
      </c>
      <c r="K240" s="15" t="s">
        <v>70</v>
      </c>
      <c r="L240" s="107" t="s">
        <v>110</v>
      </c>
    </row>
    <row r="241" spans="1:12" ht="80.099999999999994" customHeight="1" x14ac:dyDescent="0.3">
      <c r="A241" s="110"/>
      <c r="B241" s="111"/>
      <c r="C241" s="101" t="s">
        <v>71</v>
      </c>
      <c r="D241" s="107"/>
      <c r="E241" s="101" t="s">
        <v>71</v>
      </c>
      <c r="F241" s="107"/>
      <c r="G241" s="101" t="s">
        <v>71</v>
      </c>
      <c r="H241" s="107"/>
      <c r="I241" s="101" t="s">
        <v>71</v>
      </c>
      <c r="J241" s="107"/>
      <c r="K241" s="101" t="s">
        <v>71</v>
      </c>
      <c r="L241" s="107"/>
    </row>
    <row r="242" spans="1:12" ht="27" customHeight="1" x14ac:dyDescent="0.3">
      <c r="A242" s="126" t="s">
        <v>12</v>
      </c>
      <c r="B242" s="126" t="s">
        <v>13</v>
      </c>
      <c r="C242" s="136" t="s">
        <v>14</v>
      </c>
      <c r="D242" s="137"/>
      <c r="E242" s="136" t="s">
        <v>15</v>
      </c>
      <c r="F242" s="137"/>
      <c r="G242" s="136" t="s">
        <v>16</v>
      </c>
      <c r="H242" s="137"/>
      <c r="I242" s="136" t="s">
        <v>17</v>
      </c>
      <c r="J242" s="137"/>
      <c r="K242" s="124" t="s">
        <v>18</v>
      </c>
      <c r="L242" s="124"/>
    </row>
    <row r="243" spans="1:12" ht="27" customHeight="1" thickBot="1" x14ac:dyDescent="0.35">
      <c r="A243" s="127"/>
      <c r="B243" s="127"/>
      <c r="C243" s="138">
        <f>K225+3</f>
        <v>46006</v>
      </c>
      <c r="D243" s="139"/>
      <c r="E243" s="138">
        <f>C243+1</f>
        <v>46007</v>
      </c>
      <c r="F243" s="139"/>
      <c r="G243" s="138">
        <f>E243+1</f>
        <v>46008</v>
      </c>
      <c r="H243" s="139"/>
      <c r="I243" s="138">
        <f>G243+1</f>
        <v>46009</v>
      </c>
      <c r="J243" s="139"/>
      <c r="K243" s="125">
        <f>I243+1</f>
        <v>46010</v>
      </c>
      <c r="L243" s="125"/>
    </row>
    <row r="244" spans="1:12" ht="25.5" customHeight="1" thickTop="1" x14ac:dyDescent="0.3">
      <c r="A244" s="109">
        <v>1</v>
      </c>
      <c r="B244" s="119" t="s">
        <v>23</v>
      </c>
      <c r="C244" s="15" t="s">
        <v>70</v>
      </c>
      <c r="D244" s="107" t="s">
        <v>110</v>
      </c>
      <c r="E244" s="24" t="s">
        <v>66</v>
      </c>
      <c r="F244" s="148" t="s">
        <v>92</v>
      </c>
      <c r="G244" s="24" t="s">
        <v>66</v>
      </c>
      <c r="H244" s="148" t="s">
        <v>92</v>
      </c>
      <c r="I244" s="24" t="s">
        <v>66</v>
      </c>
      <c r="J244" s="148" t="s">
        <v>92</v>
      </c>
      <c r="K244" s="24" t="s">
        <v>66</v>
      </c>
      <c r="L244" s="148" t="s">
        <v>92</v>
      </c>
    </row>
    <row r="245" spans="1:12" ht="80.099999999999994" customHeight="1" x14ac:dyDescent="0.3">
      <c r="A245" s="110"/>
      <c r="B245" s="120"/>
      <c r="C245" s="101" t="s">
        <v>71</v>
      </c>
      <c r="D245" s="107"/>
      <c r="E245" s="24" t="s">
        <v>67</v>
      </c>
      <c r="F245" s="148"/>
      <c r="G245" s="24" t="s">
        <v>67</v>
      </c>
      <c r="H245" s="148"/>
      <c r="I245" s="24" t="s">
        <v>67</v>
      </c>
      <c r="J245" s="148"/>
      <c r="K245" s="24" t="s">
        <v>67</v>
      </c>
      <c r="L245" s="148"/>
    </row>
    <row r="246" spans="1:12" ht="25.5" customHeight="1" x14ac:dyDescent="0.3">
      <c r="A246" s="115">
        <v>2</v>
      </c>
      <c r="B246" s="118" t="s">
        <v>24</v>
      </c>
      <c r="C246" s="15" t="s">
        <v>70</v>
      </c>
      <c r="D246" s="107" t="s">
        <v>110</v>
      </c>
      <c r="E246" s="24" t="s">
        <v>66</v>
      </c>
      <c r="F246" s="148" t="s">
        <v>92</v>
      </c>
      <c r="G246" s="24" t="s">
        <v>66</v>
      </c>
      <c r="H246" s="148" t="s">
        <v>92</v>
      </c>
      <c r="I246" s="24" t="s">
        <v>66</v>
      </c>
      <c r="J246" s="148" t="s">
        <v>92</v>
      </c>
      <c r="K246" s="24" t="s">
        <v>66</v>
      </c>
      <c r="L246" s="148" t="s">
        <v>92</v>
      </c>
    </row>
    <row r="247" spans="1:12" ht="80.099999999999994" customHeight="1" x14ac:dyDescent="0.3">
      <c r="A247" s="115"/>
      <c r="B247" s="118"/>
      <c r="C247" s="101" t="s">
        <v>71</v>
      </c>
      <c r="D247" s="107"/>
      <c r="E247" s="24" t="s">
        <v>67</v>
      </c>
      <c r="F247" s="148"/>
      <c r="G247" s="24" t="s">
        <v>67</v>
      </c>
      <c r="H247" s="148"/>
      <c r="I247" s="24" t="s">
        <v>67</v>
      </c>
      <c r="J247" s="148"/>
      <c r="K247" s="24" t="s">
        <v>67</v>
      </c>
      <c r="L247" s="148"/>
    </row>
    <row r="248" spans="1:12" ht="25.5" customHeight="1" x14ac:dyDescent="0.3">
      <c r="A248" s="115">
        <v>3</v>
      </c>
      <c r="B248" s="118" t="s">
        <v>25</v>
      </c>
      <c r="C248" s="15" t="s">
        <v>70</v>
      </c>
      <c r="D248" s="107" t="s">
        <v>110</v>
      </c>
      <c r="E248" s="24" t="s">
        <v>66</v>
      </c>
      <c r="F248" s="148" t="s">
        <v>92</v>
      </c>
      <c r="G248" s="24" t="s">
        <v>66</v>
      </c>
      <c r="H248" s="148" t="s">
        <v>92</v>
      </c>
      <c r="I248" s="24" t="s">
        <v>66</v>
      </c>
      <c r="J248" s="148" t="s">
        <v>92</v>
      </c>
      <c r="K248" s="24" t="s">
        <v>66</v>
      </c>
      <c r="L248" s="148" t="s">
        <v>92</v>
      </c>
    </row>
    <row r="249" spans="1:12" ht="80.099999999999994" customHeight="1" x14ac:dyDescent="0.3">
      <c r="A249" s="115"/>
      <c r="B249" s="118"/>
      <c r="C249" s="101" t="s">
        <v>71</v>
      </c>
      <c r="D249" s="107"/>
      <c r="E249" s="24" t="s">
        <v>67</v>
      </c>
      <c r="F249" s="148"/>
      <c r="G249" s="24" t="s">
        <v>67</v>
      </c>
      <c r="H249" s="148"/>
      <c r="I249" s="24" t="s">
        <v>67</v>
      </c>
      <c r="J249" s="148"/>
      <c r="K249" s="24" t="s">
        <v>67</v>
      </c>
      <c r="L249" s="148"/>
    </row>
    <row r="250" spans="1:12" ht="25.5" customHeight="1" x14ac:dyDescent="0.3">
      <c r="A250" s="115">
        <v>4</v>
      </c>
      <c r="B250" s="118" t="s">
        <v>26</v>
      </c>
      <c r="C250" s="15" t="s">
        <v>70</v>
      </c>
      <c r="D250" s="107" t="s">
        <v>110</v>
      </c>
      <c r="E250" s="24" t="s">
        <v>66</v>
      </c>
      <c r="F250" s="148" t="s">
        <v>92</v>
      </c>
      <c r="G250" s="24" t="s">
        <v>66</v>
      </c>
      <c r="H250" s="148" t="s">
        <v>92</v>
      </c>
      <c r="I250" s="24" t="s">
        <v>66</v>
      </c>
      <c r="J250" s="148" t="s">
        <v>92</v>
      </c>
      <c r="K250" s="24" t="s">
        <v>66</v>
      </c>
      <c r="L250" s="148" t="s">
        <v>92</v>
      </c>
    </row>
    <row r="251" spans="1:12" ht="80.099999999999994" customHeight="1" x14ac:dyDescent="0.3">
      <c r="A251" s="115"/>
      <c r="B251" s="118"/>
      <c r="C251" s="101" t="s">
        <v>71</v>
      </c>
      <c r="D251" s="107"/>
      <c r="E251" s="24" t="s">
        <v>67</v>
      </c>
      <c r="F251" s="148"/>
      <c r="G251" s="24" t="s">
        <v>67</v>
      </c>
      <c r="H251" s="148"/>
      <c r="I251" s="24" t="s">
        <v>67</v>
      </c>
      <c r="J251" s="148"/>
      <c r="K251" s="24" t="s">
        <v>67</v>
      </c>
      <c r="L251" s="148"/>
    </row>
    <row r="252" spans="1:12" ht="25.5" customHeight="1" x14ac:dyDescent="0.3">
      <c r="A252" s="109">
        <v>5</v>
      </c>
      <c r="B252" s="111" t="s">
        <v>27</v>
      </c>
      <c r="C252" s="15" t="s">
        <v>70</v>
      </c>
      <c r="D252" s="107" t="s">
        <v>110</v>
      </c>
      <c r="E252" s="15" t="s">
        <v>62</v>
      </c>
      <c r="F252" s="107" t="s">
        <v>111</v>
      </c>
      <c r="G252" s="15" t="s">
        <v>62</v>
      </c>
      <c r="H252" s="107" t="s">
        <v>111</v>
      </c>
      <c r="I252" s="15" t="s">
        <v>62</v>
      </c>
      <c r="J252" s="107" t="s">
        <v>111</v>
      </c>
      <c r="K252" s="15" t="s">
        <v>62</v>
      </c>
      <c r="L252" s="107" t="s">
        <v>111</v>
      </c>
    </row>
    <row r="253" spans="1:12" ht="80.099999999999994" customHeight="1" x14ac:dyDescent="0.3">
      <c r="A253" s="110"/>
      <c r="B253" s="111"/>
      <c r="C253" s="101" t="s">
        <v>71</v>
      </c>
      <c r="D253" s="107"/>
      <c r="E253" s="15" t="s">
        <v>63</v>
      </c>
      <c r="F253" s="107"/>
      <c r="G253" s="15" t="s">
        <v>63</v>
      </c>
      <c r="H253" s="107"/>
      <c r="I253" s="15" t="s">
        <v>63</v>
      </c>
      <c r="J253" s="107"/>
      <c r="K253" s="15" t="s">
        <v>63</v>
      </c>
      <c r="L253" s="107"/>
    </row>
    <row r="254" spans="1:12" ht="25.5" customHeight="1" x14ac:dyDescent="0.3">
      <c r="A254" s="109">
        <v>6</v>
      </c>
      <c r="B254" s="111" t="s">
        <v>28</v>
      </c>
      <c r="C254" s="15" t="s">
        <v>70</v>
      </c>
      <c r="D254" s="107" t="s">
        <v>110</v>
      </c>
      <c r="E254" s="15" t="s">
        <v>62</v>
      </c>
      <c r="F254" s="107" t="s">
        <v>111</v>
      </c>
      <c r="G254" s="15" t="s">
        <v>62</v>
      </c>
      <c r="H254" s="107" t="s">
        <v>111</v>
      </c>
      <c r="I254" s="15" t="s">
        <v>62</v>
      </c>
      <c r="J254" s="107" t="s">
        <v>111</v>
      </c>
      <c r="K254" s="15" t="s">
        <v>62</v>
      </c>
      <c r="L254" s="107" t="s">
        <v>111</v>
      </c>
    </row>
    <row r="255" spans="1:12" ht="80.099999999999994" customHeight="1" x14ac:dyDescent="0.3">
      <c r="A255" s="110"/>
      <c r="B255" s="111"/>
      <c r="C255" s="101" t="s">
        <v>71</v>
      </c>
      <c r="D255" s="107"/>
      <c r="E255" s="15" t="s">
        <v>63</v>
      </c>
      <c r="F255" s="107"/>
      <c r="G255" s="15" t="s">
        <v>63</v>
      </c>
      <c r="H255" s="107"/>
      <c r="I255" s="15" t="s">
        <v>63</v>
      </c>
      <c r="J255" s="107"/>
      <c r="K255" s="15" t="s">
        <v>63</v>
      </c>
      <c r="L255" s="107"/>
    </row>
    <row r="256" spans="1:12" ht="25.5" customHeight="1" x14ac:dyDescent="0.3">
      <c r="A256" s="109">
        <v>7</v>
      </c>
      <c r="B256" s="111" t="s">
        <v>29</v>
      </c>
      <c r="C256" s="15" t="s">
        <v>70</v>
      </c>
      <c r="D256" s="107" t="s">
        <v>110</v>
      </c>
      <c r="E256" s="15" t="s">
        <v>62</v>
      </c>
      <c r="F256" s="107" t="s">
        <v>111</v>
      </c>
      <c r="G256" s="15" t="s">
        <v>62</v>
      </c>
      <c r="H256" s="107" t="s">
        <v>111</v>
      </c>
      <c r="I256" s="15" t="s">
        <v>62</v>
      </c>
      <c r="J256" s="107" t="s">
        <v>111</v>
      </c>
      <c r="K256" s="15" t="s">
        <v>62</v>
      </c>
      <c r="L256" s="107" t="s">
        <v>111</v>
      </c>
    </row>
    <row r="257" spans="1:12" ht="80.099999999999994" customHeight="1" x14ac:dyDescent="0.3">
      <c r="A257" s="110"/>
      <c r="B257" s="111"/>
      <c r="C257" s="101" t="s">
        <v>71</v>
      </c>
      <c r="D257" s="107"/>
      <c r="E257" s="15" t="s">
        <v>63</v>
      </c>
      <c r="F257" s="107"/>
      <c r="G257" s="15" t="s">
        <v>63</v>
      </c>
      <c r="H257" s="107"/>
      <c r="I257" s="15" t="s">
        <v>63</v>
      </c>
      <c r="J257" s="107"/>
      <c r="K257" s="15" t="s">
        <v>63</v>
      </c>
      <c r="L257" s="107"/>
    </row>
    <row r="258" spans="1:12" ht="25.5" customHeight="1" x14ac:dyDescent="0.3">
      <c r="A258" s="109">
        <v>8</v>
      </c>
      <c r="B258" s="111" t="s">
        <v>40</v>
      </c>
      <c r="C258" s="15" t="s">
        <v>62</v>
      </c>
      <c r="D258" s="107" t="s">
        <v>111</v>
      </c>
      <c r="E258" s="15" t="s">
        <v>62</v>
      </c>
      <c r="F258" s="107" t="s">
        <v>111</v>
      </c>
      <c r="G258" s="15" t="s">
        <v>62</v>
      </c>
      <c r="H258" s="107" t="s">
        <v>111</v>
      </c>
      <c r="I258" s="15" t="s">
        <v>62</v>
      </c>
      <c r="J258" s="107" t="s">
        <v>111</v>
      </c>
      <c r="K258" s="15" t="s">
        <v>62</v>
      </c>
      <c r="L258" s="107" t="s">
        <v>111</v>
      </c>
    </row>
    <row r="259" spans="1:12" ht="80.099999999999994" customHeight="1" x14ac:dyDescent="0.3">
      <c r="A259" s="110"/>
      <c r="B259" s="111"/>
      <c r="C259" s="15" t="s">
        <v>63</v>
      </c>
      <c r="D259" s="107"/>
      <c r="E259" s="15" t="s">
        <v>63</v>
      </c>
      <c r="F259" s="107"/>
      <c r="G259" s="15" t="s">
        <v>63</v>
      </c>
      <c r="H259" s="107"/>
      <c r="I259" s="15" t="s">
        <v>63</v>
      </c>
      <c r="J259" s="107"/>
      <c r="K259" s="15" t="s">
        <v>63</v>
      </c>
      <c r="L259" s="107"/>
    </row>
    <row r="260" spans="1:12" ht="27" customHeight="1" x14ac:dyDescent="0.3">
      <c r="A260" s="126" t="s">
        <v>12</v>
      </c>
      <c r="B260" s="126" t="s">
        <v>13</v>
      </c>
      <c r="C260" s="124" t="s">
        <v>14</v>
      </c>
      <c r="D260" s="124"/>
      <c r="E260" s="124" t="s">
        <v>15</v>
      </c>
      <c r="F260" s="124"/>
      <c r="G260" s="136" t="s">
        <v>16</v>
      </c>
      <c r="H260" s="137"/>
      <c r="I260" s="136" t="s">
        <v>17</v>
      </c>
      <c r="J260" s="137"/>
      <c r="K260" s="124" t="s">
        <v>18</v>
      </c>
      <c r="L260" s="124"/>
    </row>
    <row r="261" spans="1:12" ht="27" customHeight="1" thickBot="1" x14ac:dyDescent="0.35">
      <c r="A261" s="127"/>
      <c r="B261" s="127"/>
      <c r="C261" s="125">
        <f>K243+3</f>
        <v>46013</v>
      </c>
      <c r="D261" s="125"/>
      <c r="E261" s="125">
        <f>C261+1</f>
        <v>46014</v>
      </c>
      <c r="F261" s="125"/>
      <c r="G261" s="138">
        <f>E261+1</f>
        <v>46015</v>
      </c>
      <c r="H261" s="139"/>
      <c r="I261" s="138">
        <f>G261+1</f>
        <v>46016</v>
      </c>
      <c r="J261" s="139"/>
      <c r="K261" s="125">
        <f>I261+1</f>
        <v>46017</v>
      </c>
      <c r="L261" s="125"/>
    </row>
    <row r="262" spans="1:12" ht="25.5" customHeight="1" thickTop="1" x14ac:dyDescent="0.3">
      <c r="A262" s="109">
        <v>1</v>
      </c>
      <c r="B262" s="119" t="s">
        <v>23</v>
      </c>
      <c r="C262" s="15" t="s">
        <v>62</v>
      </c>
      <c r="D262" s="107" t="s">
        <v>92</v>
      </c>
      <c r="E262" s="15" t="s">
        <v>62</v>
      </c>
      <c r="F262" s="107" t="s">
        <v>92</v>
      </c>
      <c r="G262" s="15" t="s">
        <v>62</v>
      </c>
      <c r="H262" s="107" t="s">
        <v>111</v>
      </c>
      <c r="I262" s="100"/>
      <c r="J262" s="147"/>
      <c r="K262" s="15" t="s">
        <v>62</v>
      </c>
      <c r="L262" s="107" t="s">
        <v>111</v>
      </c>
    </row>
    <row r="263" spans="1:12" ht="80.099999999999994" customHeight="1" x14ac:dyDescent="0.3">
      <c r="A263" s="110"/>
      <c r="B263" s="120"/>
      <c r="C263" s="15" t="s">
        <v>63</v>
      </c>
      <c r="D263" s="107"/>
      <c r="E263" s="15" t="s">
        <v>63</v>
      </c>
      <c r="F263" s="107"/>
      <c r="G263" s="15" t="s">
        <v>63</v>
      </c>
      <c r="H263" s="107"/>
      <c r="I263" s="100"/>
      <c r="J263" s="147"/>
      <c r="K263" s="15" t="s">
        <v>63</v>
      </c>
      <c r="L263" s="107"/>
    </row>
    <row r="264" spans="1:12" ht="25.5" customHeight="1" x14ac:dyDescent="0.3">
      <c r="A264" s="115">
        <v>2</v>
      </c>
      <c r="B264" s="118" t="s">
        <v>24</v>
      </c>
      <c r="C264" s="15" t="s">
        <v>62</v>
      </c>
      <c r="D264" s="107" t="s">
        <v>92</v>
      </c>
      <c r="E264" s="15" t="s">
        <v>62</v>
      </c>
      <c r="F264" s="107" t="s">
        <v>92</v>
      </c>
      <c r="G264" s="15" t="s">
        <v>62</v>
      </c>
      <c r="H264" s="107" t="s">
        <v>111</v>
      </c>
      <c r="I264" s="100"/>
      <c r="J264" s="147"/>
      <c r="K264" s="15" t="s">
        <v>62</v>
      </c>
      <c r="L264" s="107" t="s">
        <v>111</v>
      </c>
    </row>
    <row r="265" spans="1:12" ht="80.099999999999994" customHeight="1" x14ac:dyDescent="0.3">
      <c r="A265" s="115"/>
      <c r="B265" s="118"/>
      <c r="C265" s="15" t="s">
        <v>63</v>
      </c>
      <c r="D265" s="107"/>
      <c r="E265" s="15" t="s">
        <v>63</v>
      </c>
      <c r="F265" s="107"/>
      <c r="G265" s="15" t="s">
        <v>63</v>
      </c>
      <c r="H265" s="107"/>
      <c r="I265" s="62" t="s">
        <v>120</v>
      </c>
      <c r="J265" s="147"/>
      <c r="K265" s="15" t="s">
        <v>63</v>
      </c>
      <c r="L265" s="107"/>
    </row>
    <row r="266" spans="1:12" ht="25.5" customHeight="1" x14ac:dyDescent="0.3">
      <c r="A266" s="115">
        <v>3</v>
      </c>
      <c r="B266" s="118" t="s">
        <v>25</v>
      </c>
      <c r="C266" s="15" t="s">
        <v>62</v>
      </c>
      <c r="D266" s="107" t="s">
        <v>92</v>
      </c>
      <c r="E266" s="15" t="s">
        <v>62</v>
      </c>
      <c r="F266" s="107" t="s">
        <v>92</v>
      </c>
      <c r="G266" s="15" t="s">
        <v>62</v>
      </c>
      <c r="H266" s="107" t="s">
        <v>111</v>
      </c>
      <c r="I266" s="62"/>
      <c r="J266" s="147"/>
      <c r="K266" s="15" t="s">
        <v>62</v>
      </c>
      <c r="L266" s="107" t="s">
        <v>111</v>
      </c>
    </row>
    <row r="267" spans="1:12" ht="80.099999999999994" customHeight="1" x14ac:dyDescent="0.3">
      <c r="A267" s="115"/>
      <c r="B267" s="118"/>
      <c r="C267" s="15" t="s">
        <v>63</v>
      </c>
      <c r="D267" s="107"/>
      <c r="E267" s="15" t="s">
        <v>63</v>
      </c>
      <c r="F267" s="107"/>
      <c r="G267" s="15" t="s">
        <v>63</v>
      </c>
      <c r="H267" s="107"/>
      <c r="I267" s="62"/>
      <c r="J267" s="147"/>
      <c r="K267" s="15" t="s">
        <v>63</v>
      </c>
      <c r="L267" s="107"/>
    </row>
    <row r="268" spans="1:12" ht="25.5" customHeight="1" x14ac:dyDescent="0.3">
      <c r="A268" s="115">
        <v>4</v>
      </c>
      <c r="B268" s="118" t="s">
        <v>26</v>
      </c>
      <c r="C268" s="15" t="s">
        <v>62</v>
      </c>
      <c r="D268" s="107" t="s">
        <v>92</v>
      </c>
      <c r="E268" s="15" t="s">
        <v>62</v>
      </c>
      <c r="F268" s="107" t="s">
        <v>111</v>
      </c>
      <c r="G268" s="15" t="s">
        <v>62</v>
      </c>
      <c r="H268" s="107" t="s">
        <v>111</v>
      </c>
      <c r="I268" s="62"/>
      <c r="J268" s="147"/>
      <c r="K268" s="15" t="s">
        <v>62</v>
      </c>
      <c r="L268" s="107" t="s">
        <v>111</v>
      </c>
    </row>
    <row r="269" spans="1:12" ht="80.099999999999994" customHeight="1" x14ac:dyDescent="0.3">
      <c r="A269" s="115"/>
      <c r="B269" s="118"/>
      <c r="C269" s="15" t="s">
        <v>63</v>
      </c>
      <c r="D269" s="107"/>
      <c r="E269" s="15" t="s">
        <v>63</v>
      </c>
      <c r="F269" s="107"/>
      <c r="G269" s="15" t="s">
        <v>63</v>
      </c>
      <c r="H269" s="107"/>
      <c r="I269" s="62" t="s">
        <v>121</v>
      </c>
      <c r="J269" s="147"/>
      <c r="K269" s="15" t="s">
        <v>63</v>
      </c>
      <c r="L269" s="107"/>
    </row>
    <row r="270" spans="1:12" ht="25.5" customHeight="1" x14ac:dyDescent="0.3">
      <c r="A270" s="109">
        <v>5</v>
      </c>
      <c r="B270" s="111" t="s">
        <v>27</v>
      </c>
      <c r="C270" s="15" t="s">
        <v>62</v>
      </c>
      <c r="D270" s="107" t="s">
        <v>111</v>
      </c>
      <c r="E270" s="15" t="s">
        <v>62</v>
      </c>
      <c r="F270" s="107" t="s">
        <v>111</v>
      </c>
      <c r="G270" s="15" t="s">
        <v>62</v>
      </c>
      <c r="H270" s="107" t="s">
        <v>111</v>
      </c>
      <c r="I270" s="62"/>
      <c r="J270" s="146"/>
      <c r="K270" s="15" t="s">
        <v>62</v>
      </c>
      <c r="L270" s="107" t="s">
        <v>111</v>
      </c>
    </row>
    <row r="271" spans="1:12" ht="80.099999999999994" customHeight="1" x14ac:dyDescent="0.3">
      <c r="A271" s="110"/>
      <c r="B271" s="111"/>
      <c r="C271" s="15" t="s">
        <v>63</v>
      </c>
      <c r="D271" s="107"/>
      <c r="E271" s="15" t="s">
        <v>63</v>
      </c>
      <c r="F271" s="107"/>
      <c r="G271" s="15" t="s">
        <v>63</v>
      </c>
      <c r="H271" s="107"/>
      <c r="I271" s="62"/>
      <c r="J271" s="146"/>
      <c r="K271" s="15" t="s">
        <v>63</v>
      </c>
      <c r="L271" s="107"/>
    </row>
    <row r="272" spans="1:12" ht="25.5" customHeight="1" x14ac:dyDescent="0.3">
      <c r="A272" s="109">
        <v>6</v>
      </c>
      <c r="B272" s="111" t="s">
        <v>28</v>
      </c>
      <c r="C272" s="15" t="s">
        <v>62</v>
      </c>
      <c r="D272" s="107" t="s">
        <v>111</v>
      </c>
      <c r="E272" s="15" t="s">
        <v>62</v>
      </c>
      <c r="F272" s="107" t="s">
        <v>111</v>
      </c>
      <c r="G272" s="15" t="s">
        <v>62</v>
      </c>
      <c r="H272" s="107" t="s">
        <v>111</v>
      </c>
      <c r="I272" s="62"/>
      <c r="J272" s="146"/>
      <c r="K272" s="15" t="s">
        <v>62</v>
      </c>
      <c r="L272" s="107" t="s">
        <v>111</v>
      </c>
    </row>
    <row r="273" spans="1:12" ht="80.099999999999994" customHeight="1" x14ac:dyDescent="0.3">
      <c r="A273" s="110"/>
      <c r="B273" s="111"/>
      <c r="C273" s="15" t="s">
        <v>63</v>
      </c>
      <c r="D273" s="107"/>
      <c r="E273" s="15" t="s">
        <v>63</v>
      </c>
      <c r="F273" s="107"/>
      <c r="G273" s="15" t="s">
        <v>63</v>
      </c>
      <c r="H273" s="107"/>
      <c r="I273" s="62" t="s">
        <v>122</v>
      </c>
      <c r="J273" s="146"/>
      <c r="K273" s="15" t="s">
        <v>63</v>
      </c>
      <c r="L273" s="107"/>
    </row>
    <row r="274" spans="1:12" ht="25.5" customHeight="1" x14ac:dyDescent="0.3">
      <c r="A274" s="109">
        <v>7</v>
      </c>
      <c r="B274" s="111" t="s">
        <v>29</v>
      </c>
      <c r="C274" s="15" t="s">
        <v>62</v>
      </c>
      <c r="D274" s="107" t="s">
        <v>111</v>
      </c>
      <c r="E274" s="15" t="s">
        <v>62</v>
      </c>
      <c r="F274" s="107" t="s">
        <v>111</v>
      </c>
      <c r="G274" s="15" t="s">
        <v>62</v>
      </c>
      <c r="H274" s="107" t="s">
        <v>111</v>
      </c>
      <c r="I274" s="99"/>
      <c r="J274" s="146"/>
      <c r="K274" s="15" t="s">
        <v>62</v>
      </c>
      <c r="L274" s="107" t="s">
        <v>111</v>
      </c>
    </row>
    <row r="275" spans="1:12" ht="80.099999999999994" customHeight="1" x14ac:dyDescent="0.3">
      <c r="A275" s="110"/>
      <c r="B275" s="111"/>
      <c r="C275" s="15" t="s">
        <v>63</v>
      </c>
      <c r="D275" s="107"/>
      <c r="E275" s="15" t="s">
        <v>63</v>
      </c>
      <c r="F275" s="107"/>
      <c r="G275" s="15" t="s">
        <v>63</v>
      </c>
      <c r="H275" s="107"/>
      <c r="I275" s="99"/>
      <c r="J275" s="146"/>
      <c r="K275" s="15" t="s">
        <v>63</v>
      </c>
      <c r="L275" s="107"/>
    </row>
    <row r="276" spans="1:12" ht="25.5" customHeight="1" x14ac:dyDescent="0.3">
      <c r="A276" s="109">
        <v>8</v>
      </c>
      <c r="B276" s="111" t="s">
        <v>40</v>
      </c>
      <c r="C276" s="15" t="s">
        <v>62</v>
      </c>
      <c r="D276" s="107" t="s">
        <v>111</v>
      </c>
      <c r="E276" s="15" t="s">
        <v>62</v>
      </c>
      <c r="F276" s="107" t="s">
        <v>111</v>
      </c>
      <c r="G276" s="15" t="s">
        <v>62</v>
      </c>
      <c r="H276" s="107" t="s">
        <v>111</v>
      </c>
      <c r="I276" s="99"/>
      <c r="J276" s="146"/>
      <c r="K276" s="15" t="s">
        <v>62</v>
      </c>
      <c r="L276" s="107" t="s">
        <v>111</v>
      </c>
    </row>
    <row r="277" spans="1:12" ht="80.099999999999994" customHeight="1" x14ac:dyDescent="0.3">
      <c r="A277" s="110"/>
      <c r="B277" s="111"/>
      <c r="C277" s="15" t="s">
        <v>63</v>
      </c>
      <c r="D277" s="107"/>
      <c r="E277" s="15" t="s">
        <v>63</v>
      </c>
      <c r="F277" s="107"/>
      <c r="G277" s="15" t="s">
        <v>63</v>
      </c>
      <c r="H277" s="107"/>
      <c r="I277" s="99"/>
      <c r="J277" s="146"/>
      <c r="K277" s="15" t="s">
        <v>63</v>
      </c>
      <c r="L277" s="107"/>
    </row>
    <row r="278" spans="1:12" ht="27" customHeight="1" x14ac:dyDescent="0.3">
      <c r="A278" s="126" t="s">
        <v>12</v>
      </c>
      <c r="B278" s="126" t="s">
        <v>13</v>
      </c>
      <c r="C278" s="124" t="s">
        <v>14</v>
      </c>
      <c r="D278" s="124"/>
      <c r="E278" s="124" t="s">
        <v>15</v>
      </c>
      <c r="F278" s="124"/>
      <c r="G278" s="136" t="s">
        <v>16</v>
      </c>
      <c r="H278" s="137"/>
      <c r="I278" s="124" t="s">
        <v>17</v>
      </c>
      <c r="J278" s="124"/>
      <c r="K278" s="124" t="s">
        <v>18</v>
      </c>
      <c r="L278" s="124"/>
    </row>
    <row r="279" spans="1:12" ht="27" customHeight="1" thickBot="1" x14ac:dyDescent="0.35">
      <c r="A279" s="127"/>
      <c r="B279" s="127"/>
      <c r="C279" s="125">
        <f>K261+3</f>
        <v>46020</v>
      </c>
      <c r="D279" s="125"/>
      <c r="E279" s="125">
        <f>C279+1</f>
        <v>46021</v>
      </c>
      <c r="F279" s="125"/>
      <c r="G279" s="138">
        <f>E279+1</f>
        <v>46022</v>
      </c>
      <c r="H279" s="139"/>
      <c r="I279" s="125">
        <f>G279+1</f>
        <v>46023</v>
      </c>
      <c r="J279" s="125"/>
      <c r="K279" s="125">
        <f>I279+1</f>
        <v>46024</v>
      </c>
      <c r="L279" s="125"/>
    </row>
    <row r="280" spans="1:12" ht="25.5" customHeight="1" thickTop="1" x14ac:dyDescent="0.3">
      <c r="A280" s="109">
        <v>1</v>
      </c>
      <c r="B280" s="119" t="s">
        <v>23</v>
      </c>
      <c r="C280" s="15" t="s">
        <v>62</v>
      </c>
      <c r="D280" s="107" t="s">
        <v>111</v>
      </c>
      <c r="E280" s="15" t="s">
        <v>62</v>
      </c>
      <c r="F280" s="107" t="s">
        <v>111</v>
      </c>
      <c r="G280" s="28" t="s">
        <v>62</v>
      </c>
      <c r="H280" s="145" t="s">
        <v>111</v>
      </c>
      <c r="I280" s="99"/>
      <c r="J280" s="146"/>
      <c r="K280" s="28" t="s">
        <v>62</v>
      </c>
      <c r="L280" s="145" t="s">
        <v>111</v>
      </c>
    </row>
    <row r="281" spans="1:12" ht="80.099999999999994" customHeight="1" x14ac:dyDescent="0.3">
      <c r="A281" s="110"/>
      <c r="B281" s="120"/>
      <c r="C281" s="15" t="s">
        <v>63</v>
      </c>
      <c r="D281" s="107"/>
      <c r="E281" s="15" t="s">
        <v>63</v>
      </c>
      <c r="F281" s="107"/>
      <c r="G281" s="103" t="s">
        <v>64</v>
      </c>
      <c r="H281" s="145"/>
      <c r="I281" s="99"/>
      <c r="J281" s="146"/>
      <c r="K281" s="103" t="s">
        <v>64</v>
      </c>
      <c r="L281" s="145"/>
    </row>
    <row r="282" spans="1:12" ht="25.5" customHeight="1" x14ac:dyDescent="0.3">
      <c r="A282" s="115">
        <v>2</v>
      </c>
      <c r="B282" s="118" t="s">
        <v>24</v>
      </c>
      <c r="C282" s="15" t="s">
        <v>62</v>
      </c>
      <c r="D282" s="107" t="s">
        <v>111</v>
      </c>
      <c r="E282" s="15" t="s">
        <v>62</v>
      </c>
      <c r="F282" s="107" t="s">
        <v>111</v>
      </c>
      <c r="G282" s="28" t="s">
        <v>62</v>
      </c>
      <c r="H282" s="145" t="s">
        <v>111</v>
      </c>
      <c r="I282" s="99"/>
      <c r="J282" s="146"/>
      <c r="K282" s="28" t="s">
        <v>62</v>
      </c>
      <c r="L282" s="145" t="s">
        <v>111</v>
      </c>
    </row>
    <row r="283" spans="1:12" ht="80.099999999999994" customHeight="1" x14ac:dyDescent="0.3">
      <c r="A283" s="115"/>
      <c r="B283" s="118"/>
      <c r="C283" s="15" t="s">
        <v>63</v>
      </c>
      <c r="D283" s="107"/>
      <c r="E283" s="15" t="s">
        <v>63</v>
      </c>
      <c r="F283" s="107"/>
      <c r="G283" s="103" t="s">
        <v>64</v>
      </c>
      <c r="H283" s="145"/>
      <c r="I283" s="99" t="s">
        <v>108</v>
      </c>
      <c r="J283" s="146"/>
      <c r="K283" s="103" t="s">
        <v>64</v>
      </c>
      <c r="L283" s="145"/>
    </row>
    <row r="284" spans="1:12" ht="25.5" customHeight="1" x14ac:dyDescent="0.3">
      <c r="A284" s="115">
        <v>3</v>
      </c>
      <c r="B284" s="118" t="s">
        <v>25</v>
      </c>
      <c r="C284" s="15" t="s">
        <v>62</v>
      </c>
      <c r="D284" s="107" t="s">
        <v>111</v>
      </c>
      <c r="E284" s="15" t="s">
        <v>62</v>
      </c>
      <c r="F284" s="107" t="s">
        <v>111</v>
      </c>
      <c r="G284" s="28" t="s">
        <v>62</v>
      </c>
      <c r="H284" s="145" t="s">
        <v>111</v>
      </c>
      <c r="I284" s="99"/>
      <c r="J284" s="146"/>
      <c r="K284" s="28" t="s">
        <v>62</v>
      </c>
      <c r="L284" s="145" t="s">
        <v>111</v>
      </c>
    </row>
    <row r="285" spans="1:12" ht="80.099999999999994" customHeight="1" x14ac:dyDescent="0.3">
      <c r="A285" s="115"/>
      <c r="B285" s="118"/>
      <c r="C285" s="15" t="s">
        <v>63</v>
      </c>
      <c r="D285" s="107"/>
      <c r="E285" s="15" t="s">
        <v>63</v>
      </c>
      <c r="F285" s="107"/>
      <c r="G285" s="103" t="s">
        <v>64</v>
      </c>
      <c r="H285" s="145"/>
      <c r="I285" s="99"/>
      <c r="J285" s="146"/>
      <c r="K285" s="103" t="s">
        <v>64</v>
      </c>
      <c r="L285" s="145"/>
    </row>
    <row r="286" spans="1:12" ht="25.5" customHeight="1" x14ac:dyDescent="0.3">
      <c r="A286" s="115">
        <v>4</v>
      </c>
      <c r="B286" s="118" t="s">
        <v>26</v>
      </c>
      <c r="C286" s="15" t="s">
        <v>62</v>
      </c>
      <c r="D286" s="107" t="s">
        <v>111</v>
      </c>
      <c r="E286" s="28" t="s">
        <v>62</v>
      </c>
      <c r="F286" s="145" t="s">
        <v>111</v>
      </c>
      <c r="G286" s="28" t="s">
        <v>62</v>
      </c>
      <c r="H286" s="145" t="s">
        <v>111</v>
      </c>
      <c r="I286" s="99"/>
      <c r="J286" s="146"/>
      <c r="K286" s="28" t="s">
        <v>62</v>
      </c>
      <c r="L286" s="145" t="s">
        <v>111</v>
      </c>
    </row>
    <row r="287" spans="1:12" ht="80.099999999999994" customHeight="1" x14ac:dyDescent="0.3">
      <c r="A287" s="115"/>
      <c r="B287" s="118"/>
      <c r="C287" s="15" t="s">
        <v>63</v>
      </c>
      <c r="D287" s="107"/>
      <c r="E287" s="103" t="s">
        <v>64</v>
      </c>
      <c r="F287" s="145"/>
      <c r="G287" s="103" t="s">
        <v>64</v>
      </c>
      <c r="H287" s="145"/>
      <c r="I287" s="99"/>
      <c r="J287" s="146"/>
      <c r="K287" s="103" t="s">
        <v>64</v>
      </c>
      <c r="L287" s="145"/>
    </row>
    <row r="288" spans="1:12" ht="25.5" customHeight="1" x14ac:dyDescent="0.3">
      <c r="A288" s="109">
        <v>5</v>
      </c>
      <c r="B288" s="111" t="s">
        <v>27</v>
      </c>
      <c r="C288" s="15" t="s">
        <v>62</v>
      </c>
      <c r="D288" s="107" t="s">
        <v>111</v>
      </c>
      <c r="E288" s="28" t="s">
        <v>62</v>
      </c>
      <c r="F288" s="145" t="s">
        <v>111</v>
      </c>
      <c r="G288" s="28" t="s">
        <v>62</v>
      </c>
      <c r="H288" s="145" t="s">
        <v>111</v>
      </c>
      <c r="I288" s="99"/>
      <c r="J288" s="146"/>
      <c r="K288" s="28" t="s">
        <v>62</v>
      </c>
      <c r="L288" s="145" t="s">
        <v>111</v>
      </c>
    </row>
    <row r="289" spans="1:12" ht="80.099999999999994" customHeight="1" x14ac:dyDescent="0.3">
      <c r="A289" s="110"/>
      <c r="B289" s="111"/>
      <c r="C289" s="15" t="s">
        <v>63</v>
      </c>
      <c r="D289" s="107"/>
      <c r="E289" s="103" t="s">
        <v>64</v>
      </c>
      <c r="F289" s="145"/>
      <c r="G289" s="103" t="s">
        <v>64</v>
      </c>
      <c r="H289" s="145"/>
      <c r="I289" s="99" t="s">
        <v>109</v>
      </c>
      <c r="J289" s="146"/>
      <c r="K289" s="103" t="s">
        <v>64</v>
      </c>
      <c r="L289" s="145"/>
    </row>
    <row r="290" spans="1:12" ht="25.5" customHeight="1" x14ac:dyDescent="0.3">
      <c r="A290" s="109">
        <v>6</v>
      </c>
      <c r="B290" s="111" t="s">
        <v>28</v>
      </c>
      <c r="C290" s="15" t="s">
        <v>62</v>
      </c>
      <c r="D290" s="107" t="s">
        <v>111</v>
      </c>
      <c r="E290" s="28" t="s">
        <v>62</v>
      </c>
      <c r="F290" s="145" t="s">
        <v>111</v>
      </c>
      <c r="G290" s="28" t="s">
        <v>62</v>
      </c>
      <c r="H290" s="145" t="s">
        <v>111</v>
      </c>
      <c r="I290" s="99"/>
      <c r="J290" s="146"/>
      <c r="K290" s="28" t="s">
        <v>62</v>
      </c>
      <c r="L290" s="145" t="s">
        <v>111</v>
      </c>
    </row>
    <row r="291" spans="1:12" ht="80.099999999999994" customHeight="1" x14ac:dyDescent="0.3">
      <c r="A291" s="110"/>
      <c r="B291" s="111"/>
      <c r="C291" s="15" t="s">
        <v>63</v>
      </c>
      <c r="D291" s="107"/>
      <c r="E291" s="103" t="s">
        <v>64</v>
      </c>
      <c r="F291" s="145"/>
      <c r="G291" s="103" t="s">
        <v>64</v>
      </c>
      <c r="H291" s="145"/>
      <c r="I291" s="99"/>
      <c r="J291" s="146"/>
      <c r="K291" s="103" t="s">
        <v>64</v>
      </c>
      <c r="L291" s="145"/>
    </row>
    <row r="292" spans="1:12" ht="25.5" customHeight="1" x14ac:dyDescent="0.3">
      <c r="A292" s="109">
        <v>7</v>
      </c>
      <c r="B292" s="111" t="s">
        <v>29</v>
      </c>
      <c r="C292" s="15" t="s">
        <v>62</v>
      </c>
      <c r="D292" s="107" t="s">
        <v>111</v>
      </c>
      <c r="E292" s="28" t="s">
        <v>62</v>
      </c>
      <c r="F292" s="145" t="s">
        <v>111</v>
      </c>
      <c r="G292" s="28" t="s">
        <v>62</v>
      </c>
      <c r="H292" s="145" t="s">
        <v>111</v>
      </c>
      <c r="I292" s="99"/>
      <c r="J292" s="146"/>
      <c r="K292" s="28" t="s">
        <v>62</v>
      </c>
      <c r="L292" s="145" t="s">
        <v>111</v>
      </c>
    </row>
    <row r="293" spans="1:12" ht="80.099999999999994" customHeight="1" x14ac:dyDescent="0.3">
      <c r="A293" s="110"/>
      <c r="B293" s="111"/>
      <c r="C293" s="15" t="s">
        <v>63</v>
      </c>
      <c r="D293" s="107"/>
      <c r="E293" s="103" t="s">
        <v>64</v>
      </c>
      <c r="F293" s="145"/>
      <c r="G293" s="103" t="s">
        <v>64</v>
      </c>
      <c r="H293" s="145"/>
      <c r="I293" s="99"/>
      <c r="J293" s="146"/>
      <c r="K293" s="103" t="s">
        <v>64</v>
      </c>
      <c r="L293" s="145"/>
    </row>
    <row r="294" spans="1:12" ht="25.5" customHeight="1" x14ac:dyDescent="0.3">
      <c r="A294" s="109">
        <v>8</v>
      </c>
      <c r="B294" s="111" t="s">
        <v>40</v>
      </c>
      <c r="C294" s="15" t="s">
        <v>62</v>
      </c>
      <c r="D294" s="107" t="s">
        <v>111</v>
      </c>
      <c r="E294" s="28" t="s">
        <v>62</v>
      </c>
      <c r="F294" s="145" t="s">
        <v>111</v>
      </c>
      <c r="G294" s="28" t="s">
        <v>62</v>
      </c>
      <c r="H294" s="145" t="s">
        <v>111</v>
      </c>
      <c r="I294" s="99"/>
      <c r="J294" s="146"/>
      <c r="K294" s="28" t="s">
        <v>62</v>
      </c>
      <c r="L294" s="145" t="s">
        <v>111</v>
      </c>
    </row>
    <row r="295" spans="1:12" ht="80.099999999999994" customHeight="1" x14ac:dyDescent="0.3">
      <c r="A295" s="110"/>
      <c r="B295" s="111"/>
      <c r="C295" s="15" t="s">
        <v>63</v>
      </c>
      <c r="D295" s="107"/>
      <c r="E295" s="103" t="s">
        <v>64</v>
      </c>
      <c r="F295" s="145"/>
      <c r="G295" s="103" t="s">
        <v>64</v>
      </c>
      <c r="H295" s="145"/>
      <c r="I295" s="99"/>
      <c r="J295" s="146"/>
      <c r="K295" s="103" t="s">
        <v>64</v>
      </c>
      <c r="L295" s="145"/>
    </row>
    <row r="296" spans="1:12" ht="27" customHeight="1" x14ac:dyDescent="0.3">
      <c r="A296" s="126" t="s">
        <v>12</v>
      </c>
      <c r="B296" s="126" t="s">
        <v>13</v>
      </c>
      <c r="C296" s="124" t="s">
        <v>14</v>
      </c>
      <c r="D296" s="124"/>
      <c r="E296" s="124" t="s">
        <v>15</v>
      </c>
      <c r="F296" s="124"/>
      <c r="G296" s="124" t="s">
        <v>16</v>
      </c>
      <c r="H296" s="124"/>
      <c r="I296" s="124" t="s">
        <v>17</v>
      </c>
      <c r="J296" s="124"/>
      <c r="K296" s="124" t="s">
        <v>18</v>
      </c>
      <c r="L296" s="124"/>
    </row>
    <row r="297" spans="1:12" ht="27" customHeight="1" thickBot="1" x14ac:dyDescent="0.35">
      <c r="A297" s="127"/>
      <c r="B297" s="127"/>
      <c r="C297" s="125">
        <f>K279+3</f>
        <v>46027</v>
      </c>
      <c r="D297" s="125"/>
      <c r="E297" s="125">
        <f>C297+1</f>
        <v>46028</v>
      </c>
      <c r="F297" s="125"/>
      <c r="G297" s="125">
        <f>E297+1</f>
        <v>46029</v>
      </c>
      <c r="H297" s="125"/>
      <c r="I297" s="125">
        <f>G297+1</f>
        <v>46030</v>
      </c>
      <c r="J297" s="125"/>
      <c r="K297" s="125">
        <f>I297+1</f>
        <v>46031</v>
      </c>
      <c r="L297" s="125"/>
    </row>
    <row r="298" spans="1:12" ht="25.5" customHeight="1" thickTop="1" x14ac:dyDescent="0.3">
      <c r="A298" s="109">
        <v>1</v>
      </c>
      <c r="B298" s="119" t="s">
        <v>23</v>
      </c>
      <c r="C298" s="28" t="s">
        <v>62</v>
      </c>
      <c r="D298" s="145" t="s">
        <v>111</v>
      </c>
      <c r="E298" s="28" t="s">
        <v>62</v>
      </c>
      <c r="F298" s="145" t="s">
        <v>111</v>
      </c>
      <c r="G298" s="28" t="s">
        <v>62</v>
      </c>
      <c r="H298" s="145" t="s">
        <v>111</v>
      </c>
      <c r="I298" s="17" t="s">
        <v>62</v>
      </c>
      <c r="J298" s="144" t="s">
        <v>111</v>
      </c>
      <c r="K298" s="17" t="s">
        <v>62</v>
      </c>
      <c r="L298" s="144" t="s">
        <v>111</v>
      </c>
    </row>
    <row r="299" spans="1:12" ht="80.099999999999994" customHeight="1" x14ac:dyDescent="0.3">
      <c r="A299" s="110"/>
      <c r="B299" s="120"/>
      <c r="C299" s="103" t="s">
        <v>64</v>
      </c>
      <c r="D299" s="145"/>
      <c r="E299" s="103" t="s">
        <v>64</v>
      </c>
      <c r="F299" s="145"/>
      <c r="G299" s="103" t="s">
        <v>64</v>
      </c>
      <c r="H299" s="145"/>
      <c r="I299" s="17" t="s">
        <v>65</v>
      </c>
      <c r="J299" s="144"/>
      <c r="K299" s="17" t="s">
        <v>65</v>
      </c>
      <c r="L299" s="144"/>
    </row>
    <row r="300" spans="1:12" ht="25.5" customHeight="1" x14ac:dyDescent="0.3">
      <c r="A300" s="115">
        <v>2</v>
      </c>
      <c r="B300" s="118" t="s">
        <v>24</v>
      </c>
      <c r="C300" s="28" t="s">
        <v>62</v>
      </c>
      <c r="D300" s="145" t="s">
        <v>111</v>
      </c>
      <c r="E300" s="28" t="s">
        <v>62</v>
      </c>
      <c r="F300" s="145" t="s">
        <v>111</v>
      </c>
      <c r="G300" s="28" t="s">
        <v>62</v>
      </c>
      <c r="H300" s="145" t="s">
        <v>111</v>
      </c>
      <c r="I300" s="17" t="s">
        <v>62</v>
      </c>
      <c r="J300" s="144" t="s">
        <v>111</v>
      </c>
      <c r="K300" s="17" t="s">
        <v>62</v>
      </c>
      <c r="L300" s="144" t="s">
        <v>111</v>
      </c>
    </row>
    <row r="301" spans="1:12" ht="80.099999999999994" customHeight="1" x14ac:dyDescent="0.3">
      <c r="A301" s="115"/>
      <c r="B301" s="118"/>
      <c r="C301" s="103" t="s">
        <v>64</v>
      </c>
      <c r="D301" s="145"/>
      <c r="E301" s="103" t="s">
        <v>64</v>
      </c>
      <c r="F301" s="145"/>
      <c r="G301" s="103" t="s">
        <v>64</v>
      </c>
      <c r="H301" s="145"/>
      <c r="I301" s="17" t="s">
        <v>65</v>
      </c>
      <c r="J301" s="144"/>
      <c r="K301" s="17" t="s">
        <v>65</v>
      </c>
      <c r="L301" s="144"/>
    </row>
    <row r="302" spans="1:12" ht="25.5" customHeight="1" x14ac:dyDescent="0.3">
      <c r="A302" s="115">
        <v>3</v>
      </c>
      <c r="B302" s="118" t="s">
        <v>25</v>
      </c>
      <c r="C302" s="28" t="s">
        <v>62</v>
      </c>
      <c r="D302" s="145" t="s">
        <v>111</v>
      </c>
      <c r="E302" s="28" t="s">
        <v>62</v>
      </c>
      <c r="F302" s="145" t="s">
        <v>111</v>
      </c>
      <c r="G302" s="28" t="s">
        <v>62</v>
      </c>
      <c r="H302" s="145" t="s">
        <v>111</v>
      </c>
      <c r="I302" s="17" t="s">
        <v>62</v>
      </c>
      <c r="J302" s="144" t="s">
        <v>111</v>
      </c>
      <c r="K302" s="17" t="s">
        <v>62</v>
      </c>
      <c r="L302" s="144" t="s">
        <v>111</v>
      </c>
    </row>
    <row r="303" spans="1:12" ht="80.099999999999994" customHeight="1" x14ac:dyDescent="0.3">
      <c r="A303" s="115"/>
      <c r="B303" s="118"/>
      <c r="C303" s="103" t="s">
        <v>64</v>
      </c>
      <c r="D303" s="145"/>
      <c r="E303" s="103" t="s">
        <v>64</v>
      </c>
      <c r="F303" s="145"/>
      <c r="G303" s="103" t="s">
        <v>64</v>
      </c>
      <c r="H303" s="145"/>
      <c r="I303" s="17" t="s">
        <v>65</v>
      </c>
      <c r="J303" s="144"/>
      <c r="K303" s="17" t="s">
        <v>65</v>
      </c>
      <c r="L303" s="144"/>
    </row>
    <row r="304" spans="1:12" ht="25.5" customHeight="1" x14ac:dyDescent="0.3">
      <c r="A304" s="115">
        <v>4</v>
      </c>
      <c r="B304" s="118" t="s">
        <v>26</v>
      </c>
      <c r="C304" s="28" t="s">
        <v>62</v>
      </c>
      <c r="D304" s="145" t="s">
        <v>111</v>
      </c>
      <c r="E304" s="28" t="s">
        <v>62</v>
      </c>
      <c r="F304" s="145" t="s">
        <v>111</v>
      </c>
      <c r="G304" s="17" t="s">
        <v>62</v>
      </c>
      <c r="H304" s="144" t="s">
        <v>111</v>
      </c>
      <c r="I304" s="17" t="s">
        <v>62</v>
      </c>
      <c r="J304" s="144" t="s">
        <v>111</v>
      </c>
      <c r="K304" s="17" t="s">
        <v>62</v>
      </c>
      <c r="L304" s="144" t="s">
        <v>111</v>
      </c>
    </row>
    <row r="305" spans="1:12" ht="80.099999999999994" customHeight="1" x14ac:dyDescent="0.3">
      <c r="A305" s="115"/>
      <c r="B305" s="118"/>
      <c r="C305" s="103" t="s">
        <v>64</v>
      </c>
      <c r="D305" s="145"/>
      <c r="E305" s="103" t="s">
        <v>64</v>
      </c>
      <c r="F305" s="145"/>
      <c r="G305" s="17" t="s">
        <v>65</v>
      </c>
      <c r="H305" s="144"/>
      <c r="I305" s="17" t="s">
        <v>65</v>
      </c>
      <c r="J305" s="144"/>
      <c r="K305" s="17" t="s">
        <v>65</v>
      </c>
      <c r="L305" s="144"/>
    </row>
    <row r="306" spans="1:12" ht="25.5" customHeight="1" x14ac:dyDescent="0.3">
      <c r="A306" s="109">
        <v>5</v>
      </c>
      <c r="B306" s="111" t="s">
        <v>27</v>
      </c>
      <c r="C306" s="28" t="s">
        <v>62</v>
      </c>
      <c r="D306" s="145" t="s">
        <v>111</v>
      </c>
      <c r="E306" s="28" t="s">
        <v>62</v>
      </c>
      <c r="F306" s="145" t="s">
        <v>111</v>
      </c>
      <c r="G306" s="17" t="s">
        <v>62</v>
      </c>
      <c r="H306" s="144" t="s">
        <v>111</v>
      </c>
      <c r="I306" s="17" t="s">
        <v>62</v>
      </c>
      <c r="J306" s="144" t="s">
        <v>111</v>
      </c>
      <c r="K306" s="17" t="s">
        <v>62</v>
      </c>
      <c r="L306" s="144" t="s">
        <v>111</v>
      </c>
    </row>
    <row r="307" spans="1:12" ht="80.099999999999994" customHeight="1" x14ac:dyDescent="0.3">
      <c r="A307" s="110"/>
      <c r="B307" s="111"/>
      <c r="C307" s="103" t="s">
        <v>64</v>
      </c>
      <c r="D307" s="145"/>
      <c r="E307" s="103" t="s">
        <v>64</v>
      </c>
      <c r="F307" s="145"/>
      <c r="G307" s="17" t="s">
        <v>65</v>
      </c>
      <c r="H307" s="144"/>
      <c r="I307" s="17" t="s">
        <v>65</v>
      </c>
      <c r="J307" s="144"/>
      <c r="K307" s="17" t="s">
        <v>65</v>
      </c>
      <c r="L307" s="144"/>
    </row>
    <row r="308" spans="1:12" ht="25.5" customHeight="1" x14ac:dyDescent="0.3">
      <c r="A308" s="109">
        <v>6</v>
      </c>
      <c r="B308" s="111" t="s">
        <v>28</v>
      </c>
      <c r="C308" s="28" t="s">
        <v>62</v>
      </c>
      <c r="D308" s="145" t="s">
        <v>111</v>
      </c>
      <c r="E308" s="28" t="s">
        <v>62</v>
      </c>
      <c r="F308" s="145" t="s">
        <v>111</v>
      </c>
      <c r="G308" s="17" t="s">
        <v>62</v>
      </c>
      <c r="H308" s="144" t="s">
        <v>111</v>
      </c>
      <c r="I308" s="17" t="s">
        <v>62</v>
      </c>
      <c r="J308" s="144" t="s">
        <v>111</v>
      </c>
      <c r="K308" s="17" t="s">
        <v>62</v>
      </c>
      <c r="L308" s="144" t="s">
        <v>111</v>
      </c>
    </row>
    <row r="309" spans="1:12" ht="80.099999999999994" customHeight="1" x14ac:dyDescent="0.3">
      <c r="A309" s="110"/>
      <c r="B309" s="111"/>
      <c r="C309" s="103" t="s">
        <v>64</v>
      </c>
      <c r="D309" s="145"/>
      <c r="E309" s="103" t="s">
        <v>64</v>
      </c>
      <c r="F309" s="145"/>
      <c r="G309" s="17" t="s">
        <v>65</v>
      </c>
      <c r="H309" s="144"/>
      <c r="I309" s="17" t="s">
        <v>65</v>
      </c>
      <c r="J309" s="144"/>
      <c r="K309" s="17" t="s">
        <v>65</v>
      </c>
      <c r="L309" s="144"/>
    </row>
    <row r="310" spans="1:12" ht="25.5" customHeight="1" x14ac:dyDescent="0.3">
      <c r="A310" s="109">
        <v>7</v>
      </c>
      <c r="B310" s="111" t="s">
        <v>29</v>
      </c>
      <c r="C310" s="28" t="s">
        <v>62</v>
      </c>
      <c r="D310" s="145" t="s">
        <v>111</v>
      </c>
      <c r="E310" s="28" t="s">
        <v>62</v>
      </c>
      <c r="F310" s="145" t="s">
        <v>111</v>
      </c>
      <c r="G310" s="17" t="s">
        <v>62</v>
      </c>
      <c r="H310" s="144" t="s">
        <v>111</v>
      </c>
      <c r="I310" s="17" t="s">
        <v>62</v>
      </c>
      <c r="J310" s="144" t="s">
        <v>111</v>
      </c>
      <c r="K310" s="17" t="s">
        <v>62</v>
      </c>
      <c r="L310" s="144" t="s">
        <v>111</v>
      </c>
    </row>
    <row r="311" spans="1:12" ht="80.099999999999994" customHeight="1" x14ac:dyDescent="0.3">
      <c r="A311" s="110"/>
      <c r="B311" s="111"/>
      <c r="C311" s="103" t="s">
        <v>64</v>
      </c>
      <c r="D311" s="145"/>
      <c r="E311" s="103" t="s">
        <v>64</v>
      </c>
      <c r="F311" s="145"/>
      <c r="G311" s="17" t="s">
        <v>65</v>
      </c>
      <c r="H311" s="144"/>
      <c r="I311" s="17" t="s">
        <v>65</v>
      </c>
      <c r="J311" s="144"/>
      <c r="K311" s="17" t="s">
        <v>65</v>
      </c>
      <c r="L311" s="144"/>
    </row>
    <row r="312" spans="1:12" ht="25.5" customHeight="1" x14ac:dyDescent="0.3">
      <c r="A312" s="109">
        <v>8</v>
      </c>
      <c r="B312" s="111" t="s">
        <v>40</v>
      </c>
      <c r="C312" s="28" t="s">
        <v>62</v>
      </c>
      <c r="D312" s="145" t="s">
        <v>111</v>
      </c>
      <c r="E312" s="28" t="s">
        <v>62</v>
      </c>
      <c r="F312" s="145" t="s">
        <v>111</v>
      </c>
      <c r="G312" s="17" t="s">
        <v>62</v>
      </c>
      <c r="H312" s="144" t="s">
        <v>111</v>
      </c>
      <c r="I312" s="17" t="s">
        <v>62</v>
      </c>
      <c r="J312" s="144" t="s">
        <v>111</v>
      </c>
      <c r="K312" s="17" t="s">
        <v>62</v>
      </c>
      <c r="L312" s="144" t="s">
        <v>111</v>
      </c>
    </row>
    <row r="313" spans="1:12" ht="80.099999999999994" customHeight="1" x14ac:dyDescent="0.3">
      <c r="A313" s="110"/>
      <c r="B313" s="111"/>
      <c r="C313" s="103" t="s">
        <v>64</v>
      </c>
      <c r="D313" s="145"/>
      <c r="E313" s="103" t="s">
        <v>64</v>
      </c>
      <c r="F313" s="145"/>
      <c r="G313" s="17" t="s">
        <v>65</v>
      </c>
      <c r="H313" s="144"/>
      <c r="I313" s="17" t="s">
        <v>65</v>
      </c>
      <c r="J313" s="144"/>
      <c r="K313" s="17" t="s">
        <v>65</v>
      </c>
      <c r="L313" s="144"/>
    </row>
    <row r="314" spans="1:12" ht="27" customHeight="1" x14ac:dyDescent="0.3">
      <c r="A314" s="126" t="s">
        <v>12</v>
      </c>
      <c r="B314" s="126" t="s">
        <v>13</v>
      </c>
      <c r="C314" s="124" t="s">
        <v>14</v>
      </c>
      <c r="D314" s="124"/>
      <c r="E314" s="124" t="s">
        <v>15</v>
      </c>
      <c r="F314" s="124"/>
      <c r="G314" s="124" t="s">
        <v>16</v>
      </c>
      <c r="H314" s="124"/>
      <c r="I314" s="124" t="s">
        <v>17</v>
      </c>
      <c r="J314" s="124"/>
      <c r="K314" s="124" t="s">
        <v>18</v>
      </c>
      <c r="L314" s="124"/>
    </row>
    <row r="315" spans="1:12" ht="27" customHeight="1" thickBot="1" x14ac:dyDescent="0.35">
      <c r="A315" s="127"/>
      <c r="B315" s="127"/>
      <c r="C315" s="125">
        <f>K297+3</f>
        <v>46034</v>
      </c>
      <c r="D315" s="125"/>
      <c r="E315" s="125">
        <f>C315+1</f>
        <v>46035</v>
      </c>
      <c r="F315" s="125"/>
      <c r="G315" s="125">
        <f>E315+1</f>
        <v>46036</v>
      </c>
      <c r="H315" s="125"/>
      <c r="I315" s="125">
        <f>G315+1</f>
        <v>46037</v>
      </c>
      <c r="J315" s="125"/>
      <c r="K315" s="125">
        <f>I315+1</f>
        <v>46038</v>
      </c>
      <c r="L315" s="125"/>
    </row>
    <row r="316" spans="1:12" ht="25.5" customHeight="1" thickTop="1" x14ac:dyDescent="0.3">
      <c r="A316" s="109">
        <v>1</v>
      </c>
      <c r="B316" s="119" t="s">
        <v>23</v>
      </c>
      <c r="C316" s="17" t="s">
        <v>62</v>
      </c>
      <c r="D316" s="144" t="s">
        <v>111</v>
      </c>
      <c r="E316" s="17" t="s">
        <v>62</v>
      </c>
      <c r="F316" s="144" t="s">
        <v>111</v>
      </c>
      <c r="G316" s="17" t="s">
        <v>62</v>
      </c>
      <c r="H316" s="144" t="s">
        <v>111</v>
      </c>
      <c r="I316" s="17" t="s">
        <v>62</v>
      </c>
      <c r="J316" s="144" t="s">
        <v>111</v>
      </c>
      <c r="K316" s="17" t="s">
        <v>62</v>
      </c>
      <c r="L316" s="144" t="s">
        <v>111</v>
      </c>
    </row>
    <row r="317" spans="1:12" ht="80.099999999999994" customHeight="1" x14ac:dyDescent="0.3">
      <c r="A317" s="110"/>
      <c r="B317" s="120"/>
      <c r="C317" s="17" t="s">
        <v>65</v>
      </c>
      <c r="D317" s="144"/>
      <c r="E317" s="17" t="s">
        <v>65</v>
      </c>
      <c r="F317" s="144"/>
      <c r="G317" s="17" t="s">
        <v>65</v>
      </c>
      <c r="H317" s="144"/>
      <c r="I317" s="17" t="s">
        <v>65</v>
      </c>
      <c r="J317" s="144"/>
      <c r="K317" s="17" t="s">
        <v>65</v>
      </c>
      <c r="L317" s="144"/>
    </row>
    <row r="318" spans="1:12" ht="25.5" customHeight="1" x14ac:dyDescent="0.3">
      <c r="A318" s="115">
        <v>2</v>
      </c>
      <c r="B318" s="118" t="s">
        <v>24</v>
      </c>
      <c r="C318" s="17" t="s">
        <v>62</v>
      </c>
      <c r="D318" s="144" t="s">
        <v>111</v>
      </c>
      <c r="E318" s="17" t="s">
        <v>62</v>
      </c>
      <c r="F318" s="144" t="s">
        <v>111</v>
      </c>
      <c r="G318" s="17" t="s">
        <v>62</v>
      </c>
      <c r="H318" s="144" t="s">
        <v>111</v>
      </c>
      <c r="I318" s="17" t="s">
        <v>62</v>
      </c>
      <c r="J318" s="144" t="s">
        <v>111</v>
      </c>
      <c r="K318" s="17" t="s">
        <v>62</v>
      </c>
      <c r="L318" s="144" t="s">
        <v>111</v>
      </c>
    </row>
    <row r="319" spans="1:12" ht="80.099999999999994" customHeight="1" x14ac:dyDescent="0.3">
      <c r="A319" s="115"/>
      <c r="B319" s="118"/>
      <c r="C319" s="17" t="s">
        <v>65</v>
      </c>
      <c r="D319" s="144"/>
      <c r="E319" s="17" t="s">
        <v>65</v>
      </c>
      <c r="F319" s="144"/>
      <c r="G319" s="17" t="s">
        <v>65</v>
      </c>
      <c r="H319" s="144"/>
      <c r="I319" s="17" t="s">
        <v>65</v>
      </c>
      <c r="J319" s="144"/>
      <c r="K319" s="17" t="s">
        <v>65</v>
      </c>
      <c r="L319" s="144"/>
    </row>
    <row r="320" spans="1:12" ht="25.5" customHeight="1" x14ac:dyDescent="0.3">
      <c r="A320" s="115">
        <v>3</v>
      </c>
      <c r="B320" s="118" t="s">
        <v>25</v>
      </c>
      <c r="C320" s="17" t="s">
        <v>62</v>
      </c>
      <c r="D320" s="144" t="s">
        <v>111</v>
      </c>
      <c r="E320" s="17" t="s">
        <v>62</v>
      </c>
      <c r="F320" s="144" t="s">
        <v>111</v>
      </c>
      <c r="G320" s="17" t="s">
        <v>62</v>
      </c>
      <c r="H320" s="144" t="s">
        <v>111</v>
      </c>
      <c r="I320" s="17" t="s">
        <v>62</v>
      </c>
      <c r="J320" s="144" t="s">
        <v>111</v>
      </c>
      <c r="K320" s="17" t="s">
        <v>62</v>
      </c>
      <c r="L320" s="144" t="s">
        <v>111</v>
      </c>
    </row>
    <row r="321" spans="1:12" ht="80.099999999999994" customHeight="1" x14ac:dyDescent="0.3">
      <c r="A321" s="115"/>
      <c r="B321" s="118"/>
      <c r="C321" s="17" t="s">
        <v>65</v>
      </c>
      <c r="D321" s="144"/>
      <c r="E321" s="17" t="s">
        <v>65</v>
      </c>
      <c r="F321" s="144"/>
      <c r="G321" s="17" t="s">
        <v>65</v>
      </c>
      <c r="H321" s="144"/>
      <c r="I321" s="17" t="s">
        <v>65</v>
      </c>
      <c r="J321" s="144"/>
      <c r="K321" s="17" t="s">
        <v>65</v>
      </c>
      <c r="L321" s="144"/>
    </row>
    <row r="322" spans="1:12" ht="25.5" customHeight="1" x14ac:dyDescent="0.3">
      <c r="A322" s="115">
        <v>4</v>
      </c>
      <c r="B322" s="118" t="s">
        <v>26</v>
      </c>
      <c r="C322" s="17" t="s">
        <v>62</v>
      </c>
      <c r="D322" s="144" t="s">
        <v>111</v>
      </c>
      <c r="E322" s="17" t="s">
        <v>62</v>
      </c>
      <c r="F322" s="144" t="s">
        <v>111</v>
      </c>
      <c r="G322" s="17" t="s">
        <v>62</v>
      </c>
      <c r="H322" s="144" t="s">
        <v>111</v>
      </c>
      <c r="I322" s="17" t="s">
        <v>62</v>
      </c>
      <c r="J322" s="144" t="s">
        <v>111</v>
      </c>
      <c r="K322" s="17" t="s">
        <v>62</v>
      </c>
      <c r="L322" s="144" t="s">
        <v>111</v>
      </c>
    </row>
    <row r="323" spans="1:12" ht="80.099999999999994" customHeight="1" x14ac:dyDescent="0.3">
      <c r="A323" s="115"/>
      <c r="B323" s="118"/>
      <c r="C323" s="17" t="s">
        <v>65</v>
      </c>
      <c r="D323" s="144"/>
      <c r="E323" s="17" t="s">
        <v>65</v>
      </c>
      <c r="F323" s="144"/>
      <c r="G323" s="17" t="s">
        <v>65</v>
      </c>
      <c r="H323" s="144"/>
      <c r="I323" s="17" t="s">
        <v>65</v>
      </c>
      <c r="J323" s="144"/>
      <c r="K323" s="17" t="s">
        <v>65</v>
      </c>
      <c r="L323" s="144"/>
    </row>
    <row r="324" spans="1:12" ht="25.5" customHeight="1" x14ac:dyDescent="0.3">
      <c r="A324" s="109">
        <v>5</v>
      </c>
      <c r="B324" s="111" t="s">
        <v>27</v>
      </c>
      <c r="C324" s="17" t="s">
        <v>62</v>
      </c>
      <c r="D324" s="144" t="s">
        <v>111</v>
      </c>
      <c r="E324" s="17" t="s">
        <v>62</v>
      </c>
      <c r="F324" s="144" t="s">
        <v>111</v>
      </c>
      <c r="G324" s="17" t="s">
        <v>62</v>
      </c>
      <c r="H324" s="144" t="s">
        <v>111</v>
      </c>
      <c r="I324" s="17" t="s">
        <v>62</v>
      </c>
      <c r="J324" s="144" t="s">
        <v>111</v>
      </c>
      <c r="K324" s="17" t="s">
        <v>62</v>
      </c>
      <c r="L324" s="144" t="s">
        <v>111</v>
      </c>
    </row>
    <row r="325" spans="1:12" ht="80.099999999999994" customHeight="1" x14ac:dyDescent="0.3">
      <c r="A325" s="110"/>
      <c r="B325" s="111"/>
      <c r="C325" s="17" t="s">
        <v>65</v>
      </c>
      <c r="D325" s="144"/>
      <c r="E325" s="17" t="s">
        <v>65</v>
      </c>
      <c r="F325" s="144"/>
      <c r="G325" s="17" t="s">
        <v>65</v>
      </c>
      <c r="H325" s="144"/>
      <c r="I325" s="17" t="s">
        <v>65</v>
      </c>
      <c r="J325" s="144"/>
      <c r="K325" s="17" t="s">
        <v>65</v>
      </c>
      <c r="L325" s="144"/>
    </row>
    <row r="326" spans="1:12" ht="25.5" customHeight="1" x14ac:dyDescent="0.3">
      <c r="A326" s="109">
        <v>6</v>
      </c>
      <c r="B326" s="111" t="s">
        <v>28</v>
      </c>
      <c r="C326" s="17" t="s">
        <v>62</v>
      </c>
      <c r="D326" s="144" t="s">
        <v>111</v>
      </c>
      <c r="E326" s="17" t="s">
        <v>62</v>
      </c>
      <c r="F326" s="144" t="s">
        <v>111</v>
      </c>
      <c r="G326" s="17" t="s">
        <v>62</v>
      </c>
      <c r="H326" s="144" t="s">
        <v>111</v>
      </c>
      <c r="I326" s="17" t="s">
        <v>62</v>
      </c>
      <c r="J326" s="144" t="s">
        <v>111</v>
      </c>
      <c r="K326" s="17" t="s">
        <v>62</v>
      </c>
      <c r="L326" s="144" t="s">
        <v>111</v>
      </c>
    </row>
    <row r="327" spans="1:12" ht="80.099999999999994" customHeight="1" x14ac:dyDescent="0.3">
      <c r="A327" s="110"/>
      <c r="B327" s="111"/>
      <c r="C327" s="17" t="s">
        <v>65</v>
      </c>
      <c r="D327" s="144"/>
      <c r="E327" s="17" t="s">
        <v>65</v>
      </c>
      <c r="F327" s="144"/>
      <c r="G327" s="17" t="s">
        <v>65</v>
      </c>
      <c r="H327" s="144"/>
      <c r="I327" s="17" t="s">
        <v>65</v>
      </c>
      <c r="J327" s="144"/>
      <c r="K327" s="17" t="s">
        <v>65</v>
      </c>
      <c r="L327" s="144"/>
    </row>
    <row r="328" spans="1:12" ht="25.5" customHeight="1" x14ac:dyDescent="0.3">
      <c r="A328" s="109">
        <v>7</v>
      </c>
      <c r="B328" s="111" t="s">
        <v>29</v>
      </c>
      <c r="C328" s="17" t="s">
        <v>62</v>
      </c>
      <c r="D328" s="144" t="s">
        <v>111</v>
      </c>
      <c r="E328" s="17" t="s">
        <v>62</v>
      </c>
      <c r="F328" s="144" t="s">
        <v>111</v>
      </c>
      <c r="G328" s="17" t="s">
        <v>62</v>
      </c>
      <c r="H328" s="144" t="s">
        <v>111</v>
      </c>
      <c r="I328" s="17" t="s">
        <v>62</v>
      </c>
      <c r="J328" s="144" t="s">
        <v>111</v>
      </c>
      <c r="K328" s="17" t="s">
        <v>62</v>
      </c>
      <c r="L328" s="144" t="s">
        <v>111</v>
      </c>
    </row>
    <row r="329" spans="1:12" ht="80.099999999999994" customHeight="1" x14ac:dyDescent="0.3">
      <c r="A329" s="110"/>
      <c r="B329" s="111"/>
      <c r="C329" s="17" t="s">
        <v>65</v>
      </c>
      <c r="D329" s="144"/>
      <c r="E329" s="17" t="s">
        <v>65</v>
      </c>
      <c r="F329" s="144"/>
      <c r="G329" s="17" t="s">
        <v>65</v>
      </c>
      <c r="H329" s="144"/>
      <c r="I329" s="17" t="s">
        <v>65</v>
      </c>
      <c r="J329" s="144"/>
      <c r="K329" s="17" t="s">
        <v>65</v>
      </c>
      <c r="L329" s="144"/>
    </row>
    <row r="330" spans="1:12" ht="25.5" customHeight="1" x14ac:dyDescent="0.3">
      <c r="A330" s="109">
        <v>8</v>
      </c>
      <c r="B330" s="111" t="s">
        <v>40</v>
      </c>
      <c r="C330" s="17" t="s">
        <v>62</v>
      </c>
      <c r="D330" s="144" t="s">
        <v>111</v>
      </c>
      <c r="E330" s="17" t="s">
        <v>62</v>
      </c>
      <c r="F330" s="144" t="s">
        <v>111</v>
      </c>
      <c r="G330" s="17" t="s">
        <v>62</v>
      </c>
      <c r="H330" s="144" t="s">
        <v>111</v>
      </c>
      <c r="I330" s="17" t="s">
        <v>62</v>
      </c>
      <c r="J330" s="144" t="s">
        <v>111</v>
      </c>
      <c r="K330" s="32" t="s">
        <v>66</v>
      </c>
      <c r="L330" s="142" t="s">
        <v>111</v>
      </c>
    </row>
    <row r="331" spans="1:12" ht="80.099999999999994" customHeight="1" x14ac:dyDescent="0.3">
      <c r="A331" s="110"/>
      <c r="B331" s="111"/>
      <c r="C331" s="17" t="s">
        <v>65</v>
      </c>
      <c r="D331" s="144"/>
      <c r="E331" s="17" t="s">
        <v>65</v>
      </c>
      <c r="F331" s="144"/>
      <c r="G331" s="17" t="s">
        <v>65</v>
      </c>
      <c r="H331" s="144"/>
      <c r="I331" s="17" t="s">
        <v>65</v>
      </c>
      <c r="J331" s="144"/>
      <c r="K331" s="32" t="s">
        <v>68</v>
      </c>
      <c r="L331" s="142"/>
    </row>
    <row r="332" spans="1:12" ht="27" customHeight="1" x14ac:dyDescent="0.3">
      <c r="A332" s="126" t="s">
        <v>12</v>
      </c>
      <c r="B332" s="126" t="s">
        <v>13</v>
      </c>
      <c r="C332" s="124" t="s">
        <v>14</v>
      </c>
      <c r="D332" s="124"/>
      <c r="E332" s="124" t="s">
        <v>15</v>
      </c>
      <c r="F332" s="124"/>
      <c r="G332" s="124" t="s">
        <v>16</v>
      </c>
      <c r="H332" s="124"/>
      <c r="I332" s="124" t="s">
        <v>17</v>
      </c>
      <c r="J332" s="124"/>
      <c r="K332" s="124" t="s">
        <v>18</v>
      </c>
      <c r="L332" s="124"/>
    </row>
    <row r="333" spans="1:12" ht="27" customHeight="1" thickBot="1" x14ac:dyDescent="0.35">
      <c r="A333" s="127"/>
      <c r="B333" s="127"/>
      <c r="C333" s="125">
        <f>K315+3</f>
        <v>46041</v>
      </c>
      <c r="D333" s="125"/>
      <c r="E333" s="125">
        <f>C333+1</f>
        <v>46042</v>
      </c>
      <c r="F333" s="125"/>
      <c r="G333" s="125">
        <f>E333+1</f>
        <v>46043</v>
      </c>
      <c r="H333" s="125"/>
      <c r="I333" s="125">
        <f>G333+1</f>
        <v>46044</v>
      </c>
      <c r="J333" s="125"/>
      <c r="K333" s="125">
        <f>I333+1</f>
        <v>46045</v>
      </c>
      <c r="L333" s="125"/>
    </row>
    <row r="334" spans="1:12" ht="25.5" customHeight="1" thickTop="1" x14ac:dyDescent="0.3">
      <c r="A334" s="109">
        <v>1</v>
      </c>
      <c r="B334" s="119" t="s">
        <v>23</v>
      </c>
      <c r="C334" s="32" t="s">
        <v>66</v>
      </c>
      <c r="D334" s="142" t="s">
        <v>111</v>
      </c>
      <c r="E334" s="32" t="s">
        <v>66</v>
      </c>
      <c r="F334" s="142" t="s">
        <v>111</v>
      </c>
      <c r="G334" s="32" t="s">
        <v>66</v>
      </c>
      <c r="H334" s="142" t="s">
        <v>111</v>
      </c>
      <c r="I334" s="32" t="s">
        <v>66</v>
      </c>
      <c r="J334" s="142" t="s">
        <v>111</v>
      </c>
      <c r="K334" s="32" t="s">
        <v>66</v>
      </c>
      <c r="L334" s="142" t="s">
        <v>111</v>
      </c>
    </row>
    <row r="335" spans="1:12" ht="80.099999999999994" customHeight="1" x14ac:dyDescent="0.3">
      <c r="A335" s="110"/>
      <c r="B335" s="120"/>
      <c r="C335" s="32" t="s">
        <v>68</v>
      </c>
      <c r="D335" s="142"/>
      <c r="E335" s="32" t="s">
        <v>68</v>
      </c>
      <c r="F335" s="142"/>
      <c r="G335" s="32" t="s">
        <v>68</v>
      </c>
      <c r="H335" s="142"/>
      <c r="I335" s="32" t="s">
        <v>68</v>
      </c>
      <c r="J335" s="142"/>
      <c r="K335" s="32" t="s">
        <v>68</v>
      </c>
      <c r="L335" s="142"/>
    </row>
    <row r="336" spans="1:12" ht="25.5" customHeight="1" x14ac:dyDescent="0.3">
      <c r="A336" s="115">
        <v>2</v>
      </c>
      <c r="B336" s="118" t="s">
        <v>24</v>
      </c>
      <c r="C336" s="32" t="s">
        <v>66</v>
      </c>
      <c r="D336" s="142" t="s">
        <v>111</v>
      </c>
      <c r="E336" s="32" t="s">
        <v>66</v>
      </c>
      <c r="F336" s="142" t="s">
        <v>111</v>
      </c>
      <c r="G336" s="32" t="s">
        <v>66</v>
      </c>
      <c r="H336" s="142" t="s">
        <v>111</v>
      </c>
      <c r="I336" s="32" t="s">
        <v>66</v>
      </c>
      <c r="J336" s="142" t="s">
        <v>111</v>
      </c>
      <c r="K336" s="32" t="s">
        <v>66</v>
      </c>
      <c r="L336" s="142" t="s">
        <v>111</v>
      </c>
    </row>
    <row r="337" spans="1:12" ht="80.099999999999994" customHeight="1" x14ac:dyDescent="0.3">
      <c r="A337" s="115"/>
      <c r="B337" s="118"/>
      <c r="C337" s="32" t="s">
        <v>68</v>
      </c>
      <c r="D337" s="142"/>
      <c r="E337" s="32" t="s">
        <v>68</v>
      </c>
      <c r="F337" s="142"/>
      <c r="G337" s="32" t="s">
        <v>68</v>
      </c>
      <c r="H337" s="142"/>
      <c r="I337" s="32" t="s">
        <v>68</v>
      </c>
      <c r="J337" s="142"/>
      <c r="K337" s="32" t="s">
        <v>68</v>
      </c>
      <c r="L337" s="142"/>
    </row>
    <row r="338" spans="1:12" ht="25.5" customHeight="1" x14ac:dyDescent="0.3">
      <c r="A338" s="115">
        <v>3</v>
      </c>
      <c r="B338" s="118" t="s">
        <v>25</v>
      </c>
      <c r="C338" s="32" t="s">
        <v>66</v>
      </c>
      <c r="D338" s="142" t="s">
        <v>111</v>
      </c>
      <c r="E338" s="32" t="s">
        <v>66</v>
      </c>
      <c r="F338" s="142" t="s">
        <v>111</v>
      </c>
      <c r="G338" s="32" t="s">
        <v>66</v>
      </c>
      <c r="H338" s="142" t="s">
        <v>111</v>
      </c>
      <c r="I338" s="32" t="s">
        <v>66</v>
      </c>
      <c r="J338" s="142" t="s">
        <v>111</v>
      </c>
      <c r="K338" s="32" t="s">
        <v>66</v>
      </c>
      <c r="L338" s="142" t="s">
        <v>111</v>
      </c>
    </row>
    <row r="339" spans="1:12" ht="80.099999999999994" customHeight="1" x14ac:dyDescent="0.3">
      <c r="A339" s="115"/>
      <c r="B339" s="118"/>
      <c r="C339" s="32" t="s">
        <v>68</v>
      </c>
      <c r="D339" s="142"/>
      <c r="E339" s="32" t="s">
        <v>68</v>
      </c>
      <c r="F339" s="142"/>
      <c r="G339" s="32" t="s">
        <v>68</v>
      </c>
      <c r="H339" s="142"/>
      <c r="I339" s="32" t="s">
        <v>68</v>
      </c>
      <c r="J339" s="142"/>
      <c r="K339" s="32" t="s">
        <v>68</v>
      </c>
      <c r="L339" s="142"/>
    </row>
    <row r="340" spans="1:12" ht="25.5" customHeight="1" x14ac:dyDescent="0.3">
      <c r="A340" s="115">
        <v>4</v>
      </c>
      <c r="B340" s="118" t="s">
        <v>26</v>
      </c>
      <c r="C340" s="32" t="s">
        <v>66</v>
      </c>
      <c r="D340" s="142" t="s">
        <v>111</v>
      </c>
      <c r="E340" s="32" t="s">
        <v>66</v>
      </c>
      <c r="F340" s="142" t="s">
        <v>111</v>
      </c>
      <c r="G340" s="32" t="s">
        <v>66</v>
      </c>
      <c r="H340" s="142" t="s">
        <v>111</v>
      </c>
      <c r="I340" s="32" t="s">
        <v>66</v>
      </c>
      <c r="J340" s="142" t="s">
        <v>111</v>
      </c>
      <c r="K340" s="32" t="s">
        <v>66</v>
      </c>
      <c r="L340" s="142" t="s">
        <v>111</v>
      </c>
    </row>
    <row r="341" spans="1:12" ht="80.099999999999994" customHeight="1" x14ac:dyDescent="0.3">
      <c r="A341" s="115"/>
      <c r="B341" s="118"/>
      <c r="C341" s="32" t="s">
        <v>68</v>
      </c>
      <c r="D341" s="142"/>
      <c r="E341" s="32" t="s">
        <v>68</v>
      </c>
      <c r="F341" s="142"/>
      <c r="G341" s="32" t="s">
        <v>68</v>
      </c>
      <c r="H341" s="142"/>
      <c r="I341" s="32" t="s">
        <v>68</v>
      </c>
      <c r="J341" s="142"/>
      <c r="K341" s="32" t="s">
        <v>68</v>
      </c>
      <c r="L341" s="142"/>
    </row>
    <row r="342" spans="1:12" ht="25.5" customHeight="1" x14ac:dyDescent="0.3">
      <c r="A342" s="109">
        <v>5</v>
      </c>
      <c r="B342" s="111" t="s">
        <v>27</v>
      </c>
      <c r="C342" s="32" t="s">
        <v>66</v>
      </c>
      <c r="D342" s="142" t="s">
        <v>111</v>
      </c>
      <c r="E342" s="32" t="s">
        <v>66</v>
      </c>
      <c r="F342" s="142" t="s">
        <v>111</v>
      </c>
      <c r="G342" s="32" t="s">
        <v>66</v>
      </c>
      <c r="H342" s="142" t="s">
        <v>111</v>
      </c>
      <c r="I342" s="32" t="s">
        <v>66</v>
      </c>
      <c r="J342" s="142" t="s">
        <v>111</v>
      </c>
      <c r="K342" s="32" t="s">
        <v>66</v>
      </c>
      <c r="L342" s="142" t="s">
        <v>111</v>
      </c>
    </row>
    <row r="343" spans="1:12" ht="80.099999999999994" customHeight="1" x14ac:dyDescent="0.3">
      <c r="A343" s="110"/>
      <c r="B343" s="111"/>
      <c r="C343" s="32" t="s">
        <v>68</v>
      </c>
      <c r="D343" s="142"/>
      <c r="E343" s="32" t="s">
        <v>68</v>
      </c>
      <c r="F343" s="142"/>
      <c r="G343" s="32" t="s">
        <v>68</v>
      </c>
      <c r="H343" s="142"/>
      <c r="I343" s="32" t="s">
        <v>68</v>
      </c>
      <c r="J343" s="142"/>
      <c r="K343" s="32" t="s">
        <v>68</v>
      </c>
      <c r="L343" s="142"/>
    </row>
    <row r="344" spans="1:12" ht="25.5" customHeight="1" x14ac:dyDescent="0.3">
      <c r="A344" s="109">
        <v>6</v>
      </c>
      <c r="B344" s="111" t="s">
        <v>28</v>
      </c>
      <c r="C344" s="32" t="s">
        <v>66</v>
      </c>
      <c r="D344" s="142" t="s">
        <v>111</v>
      </c>
      <c r="E344" s="32" t="s">
        <v>66</v>
      </c>
      <c r="F344" s="142" t="s">
        <v>111</v>
      </c>
      <c r="G344" s="44" t="s">
        <v>90</v>
      </c>
      <c r="H344" s="143" t="s">
        <v>91</v>
      </c>
      <c r="I344" s="32" t="s">
        <v>66</v>
      </c>
      <c r="J344" s="142" t="s">
        <v>111</v>
      </c>
      <c r="K344" s="32" t="s">
        <v>66</v>
      </c>
      <c r="L344" s="142" t="s">
        <v>111</v>
      </c>
    </row>
    <row r="345" spans="1:12" ht="80.099999999999994" customHeight="1" x14ac:dyDescent="0.3">
      <c r="A345" s="110"/>
      <c r="B345" s="111"/>
      <c r="C345" s="32" t="s">
        <v>68</v>
      </c>
      <c r="D345" s="142"/>
      <c r="E345" s="32" t="s">
        <v>68</v>
      </c>
      <c r="F345" s="142"/>
      <c r="G345" s="44" t="s">
        <v>30</v>
      </c>
      <c r="H345" s="143"/>
      <c r="I345" s="32" t="s">
        <v>68</v>
      </c>
      <c r="J345" s="142"/>
      <c r="K345" s="32" t="s">
        <v>68</v>
      </c>
      <c r="L345" s="142"/>
    </row>
    <row r="346" spans="1:12" ht="25.5" customHeight="1" x14ac:dyDescent="0.3">
      <c r="A346" s="109">
        <v>7</v>
      </c>
      <c r="B346" s="111" t="s">
        <v>29</v>
      </c>
      <c r="C346" s="32" t="s">
        <v>66</v>
      </c>
      <c r="D346" s="142" t="s">
        <v>111</v>
      </c>
      <c r="E346" s="32" t="s">
        <v>66</v>
      </c>
      <c r="F346" s="142" t="s">
        <v>111</v>
      </c>
      <c r="G346" s="44" t="s">
        <v>90</v>
      </c>
      <c r="H346" s="143" t="s">
        <v>91</v>
      </c>
      <c r="I346" s="32" t="s">
        <v>66</v>
      </c>
      <c r="J346" s="142" t="s">
        <v>111</v>
      </c>
      <c r="K346" s="32" t="s">
        <v>66</v>
      </c>
      <c r="L346" s="142" t="s">
        <v>111</v>
      </c>
    </row>
    <row r="347" spans="1:12" ht="80.099999999999994" customHeight="1" x14ac:dyDescent="0.3">
      <c r="A347" s="110"/>
      <c r="B347" s="111"/>
      <c r="C347" s="32" t="s">
        <v>68</v>
      </c>
      <c r="D347" s="142"/>
      <c r="E347" s="32" t="s">
        <v>68</v>
      </c>
      <c r="F347" s="142"/>
      <c r="G347" s="44" t="s">
        <v>30</v>
      </c>
      <c r="H347" s="143"/>
      <c r="I347" s="32" t="s">
        <v>68</v>
      </c>
      <c r="J347" s="142"/>
      <c r="K347" s="32" t="s">
        <v>68</v>
      </c>
      <c r="L347" s="142"/>
    </row>
    <row r="348" spans="1:12" ht="25.5" customHeight="1" x14ac:dyDescent="0.3">
      <c r="A348" s="109">
        <v>8</v>
      </c>
      <c r="B348" s="111" t="s">
        <v>40</v>
      </c>
      <c r="C348" s="32" t="s">
        <v>66</v>
      </c>
      <c r="D348" s="142" t="s">
        <v>111</v>
      </c>
      <c r="E348" s="32" t="s">
        <v>66</v>
      </c>
      <c r="F348" s="142" t="s">
        <v>111</v>
      </c>
      <c r="G348" s="44" t="s">
        <v>90</v>
      </c>
      <c r="H348" s="143" t="s">
        <v>91</v>
      </c>
      <c r="I348" s="32" t="s">
        <v>66</v>
      </c>
      <c r="J348" s="142" t="s">
        <v>111</v>
      </c>
      <c r="K348" s="32" t="s">
        <v>66</v>
      </c>
      <c r="L348" s="142" t="s">
        <v>111</v>
      </c>
    </row>
    <row r="349" spans="1:12" ht="80.099999999999994" customHeight="1" x14ac:dyDescent="0.3">
      <c r="A349" s="110"/>
      <c r="B349" s="111"/>
      <c r="C349" s="32" t="s">
        <v>68</v>
      </c>
      <c r="D349" s="142"/>
      <c r="E349" s="32" t="s">
        <v>68</v>
      </c>
      <c r="F349" s="142"/>
      <c r="G349" s="44" t="s">
        <v>30</v>
      </c>
      <c r="H349" s="143"/>
      <c r="I349" s="32" t="s">
        <v>68</v>
      </c>
      <c r="J349" s="142"/>
      <c r="K349" s="32" t="s">
        <v>68</v>
      </c>
      <c r="L349" s="142"/>
    </row>
    <row r="350" spans="1:12" ht="27" customHeight="1" x14ac:dyDescent="0.3">
      <c r="A350" s="126" t="s">
        <v>12</v>
      </c>
      <c r="B350" s="126" t="s">
        <v>13</v>
      </c>
      <c r="C350" s="124" t="s">
        <v>14</v>
      </c>
      <c r="D350" s="124"/>
      <c r="E350" s="124" t="s">
        <v>15</v>
      </c>
      <c r="F350" s="124"/>
      <c r="G350" s="124" t="s">
        <v>16</v>
      </c>
      <c r="H350" s="124"/>
      <c r="I350" s="124" t="s">
        <v>17</v>
      </c>
      <c r="J350" s="124"/>
      <c r="K350" s="124" t="s">
        <v>18</v>
      </c>
      <c r="L350" s="124"/>
    </row>
    <row r="351" spans="1:12" ht="27" customHeight="1" thickBot="1" x14ac:dyDescent="0.35">
      <c r="A351" s="127"/>
      <c r="B351" s="127"/>
      <c r="C351" s="125">
        <f>K333+3</f>
        <v>46048</v>
      </c>
      <c r="D351" s="125"/>
      <c r="E351" s="125">
        <f>C351+1</f>
        <v>46049</v>
      </c>
      <c r="F351" s="125"/>
      <c r="G351" s="125">
        <f>E351+1</f>
        <v>46050</v>
      </c>
      <c r="H351" s="125"/>
      <c r="I351" s="125">
        <f>G351+1</f>
        <v>46051</v>
      </c>
      <c r="J351" s="125"/>
      <c r="K351" s="125">
        <f>I351+1</f>
        <v>46052</v>
      </c>
      <c r="L351" s="125"/>
    </row>
    <row r="352" spans="1:12" ht="25.5" customHeight="1" thickTop="1" x14ac:dyDescent="0.3">
      <c r="A352" s="109">
        <v>1</v>
      </c>
      <c r="B352" s="119" t="s">
        <v>23</v>
      </c>
      <c r="C352" s="32" t="s">
        <v>66</v>
      </c>
      <c r="D352" s="142" t="s">
        <v>111</v>
      </c>
      <c r="E352" s="32" t="s">
        <v>66</v>
      </c>
      <c r="F352" s="142" t="s">
        <v>111</v>
      </c>
      <c r="G352" s="32" t="s">
        <v>66</v>
      </c>
      <c r="H352" s="142" t="s">
        <v>111</v>
      </c>
      <c r="I352" s="32" t="s">
        <v>66</v>
      </c>
      <c r="J352" s="142" t="s">
        <v>111</v>
      </c>
      <c r="K352" s="32" t="s">
        <v>66</v>
      </c>
      <c r="L352" s="142" t="s">
        <v>111</v>
      </c>
    </row>
    <row r="353" spans="1:12" ht="80.099999999999994" customHeight="1" x14ac:dyDescent="0.3">
      <c r="A353" s="110"/>
      <c r="B353" s="120"/>
      <c r="C353" s="32" t="s">
        <v>68</v>
      </c>
      <c r="D353" s="142"/>
      <c r="E353" s="32" t="s">
        <v>68</v>
      </c>
      <c r="F353" s="142"/>
      <c r="G353" s="32" t="s">
        <v>68</v>
      </c>
      <c r="H353" s="142"/>
      <c r="I353" s="32" t="s">
        <v>68</v>
      </c>
      <c r="J353" s="142"/>
      <c r="K353" s="32" t="s">
        <v>68</v>
      </c>
      <c r="L353" s="142"/>
    </row>
    <row r="354" spans="1:12" ht="25.5" customHeight="1" x14ac:dyDescent="0.3">
      <c r="A354" s="115">
        <v>2</v>
      </c>
      <c r="B354" s="118" t="s">
        <v>24</v>
      </c>
      <c r="C354" s="32" t="s">
        <v>66</v>
      </c>
      <c r="D354" s="142" t="s">
        <v>111</v>
      </c>
      <c r="E354" s="32" t="s">
        <v>66</v>
      </c>
      <c r="F354" s="142" t="s">
        <v>111</v>
      </c>
      <c r="G354" s="32" t="s">
        <v>66</v>
      </c>
      <c r="H354" s="142" t="s">
        <v>111</v>
      </c>
      <c r="I354" s="32" t="s">
        <v>66</v>
      </c>
      <c r="J354" s="142" t="s">
        <v>111</v>
      </c>
      <c r="K354" s="32" t="s">
        <v>66</v>
      </c>
      <c r="L354" s="142" t="s">
        <v>111</v>
      </c>
    </row>
    <row r="355" spans="1:12" ht="80.099999999999994" customHeight="1" x14ac:dyDescent="0.3">
      <c r="A355" s="115"/>
      <c r="B355" s="118"/>
      <c r="C355" s="32" t="s">
        <v>68</v>
      </c>
      <c r="D355" s="142"/>
      <c r="E355" s="32" t="s">
        <v>68</v>
      </c>
      <c r="F355" s="142"/>
      <c r="G355" s="32" t="s">
        <v>68</v>
      </c>
      <c r="H355" s="142"/>
      <c r="I355" s="32" t="s">
        <v>68</v>
      </c>
      <c r="J355" s="142"/>
      <c r="K355" s="32" t="s">
        <v>68</v>
      </c>
      <c r="L355" s="142"/>
    </row>
    <row r="356" spans="1:12" ht="25.5" customHeight="1" x14ac:dyDescent="0.3">
      <c r="A356" s="115">
        <v>3</v>
      </c>
      <c r="B356" s="118" t="s">
        <v>25</v>
      </c>
      <c r="C356" s="32" t="s">
        <v>66</v>
      </c>
      <c r="D356" s="142" t="s">
        <v>111</v>
      </c>
      <c r="E356" s="32" t="s">
        <v>66</v>
      </c>
      <c r="F356" s="142" t="s">
        <v>111</v>
      </c>
      <c r="G356" s="32" t="s">
        <v>66</v>
      </c>
      <c r="H356" s="142" t="s">
        <v>111</v>
      </c>
      <c r="I356" s="32" t="s">
        <v>66</v>
      </c>
      <c r="J356" s="142" t="s">
        <v>111</v>
      </c>
      <c r="K356" s="32" t="s">
        <v>66</v>
      </c>
      <c r="L356" s="142" t="s">
        <v>111</v>
      </c>
    </row>
    <row r="357" spans="1:12" ht="80.099999999999994" customHeight="1" x14ac:dyDescent="0.3">
      <c r="A357" s="115"/>
      <c r="B357" s="118"/>
      <c r="C357" s="32" t="s">
        <v>68</v>
      </c>
      <c r="D357" s="142"/>
      <c r="E357" s="32" t="s">
        <v>68</v>
      </c>
      <c r="F357" s="142"/>
      <c r="G357" s="32" t="s">
        <v>68</v>
      </c>
      <c r="H357" s="142"/>
      <c r="I357" s="32" t="s">
        <v>68</v>
      </c>
      <c r="J357" s="142"/>
      <c r="K357" s="32" t="s">
        <v>68</v>
      </c>
      <c r="L357" s="142"/>
    </row>
    <row r="358" spans="1:12" ht="25.5" customHeight="1" x14ac:dyDescent="0.3">
      <c r="A358" s="115">
        <v>4</v>
      </c>
      <c r="B358" s="118" t="s">
        <v>26</v>
      </c>
      <c r="C358" s="32" t="s">
        <v>66</v>
      </c>
      <c r="D358" s="142" t="s">
        <v>111</v>
      </c>
      <c r="E358" s="32" t="s">
        <v>66</v>
      </c>
      <c r="F358" s="142" t="s">
        <v>111</v>
      </c>
      <c r="G358" s="32" t="s">
        <v>66</v>
      </c>
      <c r="H358" s="142" t="s">
        <v>111</v>
      </c>
      <c r="I358" s="32" t="s">
        <v>66</v>
      </c>
      <c r="J358" s="142" t="s">
        <v>111</v>
      </c>
      <c r="K358" s="32" t="s">
        <v>66</v>
      </c>
      <c r="L358" s="142" t="s">
        <v>111</v>
      </c>
    </row>
    <row r="359" spans="1:12" ht="80.099999999999994" customHeight="1" x14ac:dyDescent="0.3">
      <c r="A359" s="115"/>
      <c r="B359" s="118"/>
      <c r="C359" s="32" t="s">
        <v>68</v>
      </c>
      <c r="D359" s="142"/>
      <c r="E359" s="32" t="s">
        <v>68</v>
      </c>
      <c r="F359" s="142"/>
      <c r="G359" s="32" t="s">
        <v>68</v>
      </c>
      <c r="H359" s="142"/>
      <c r="I359" s="32" t="s">
        <v>68</v>
      </c>
      <c r="J359" s="142"/>
      <c r="K359" s="32" t="s">
        <v>68</v>
      </c>
      <c r="L359" s="142"/>
    </row>
    <row r="360" spans="1:12" ht="25.5" customHeight="1" x14ac:dyDescent="0.3">
      <c r="A360" s="109">
        <v>5</v>
      </c>
      <c r="B360" s="111" t="s">
        <v>27</v>
      </c>
      <c r="C360" s="32" t="s">
        <v>66</v>
      </c>
      <c r="D360" s="142" t="s">
        <v>111</v>
      </c>
      <c r="E360" s="32" t="s">
        <v>66</v>
      </c>
      <c r="F360" s="142" t="s">
        <v>111</v>
      </c>
      <c r="G360" s="32" t="s">
        <v>66</v>
      </c>
      <c r="H360" s="142" t="s">
        <v>111</v>
      </c>
      <c r="I360" s="32" t="s">
        <v>66</v>
      </c>
      <c r="J360" s="142" t="s">
        <v>111</v>
      </c>
      <c r="K360" s="32" t="s">
        <v>66</v>
      </c>
      <c r="L360" s="142" t="s">
        <v>111</v>
      </c>
    </row>
    <row r="361" spans="1:12" ht="80.099999999999994" customHeight="1" x14ac:dyDescent="0.3">
      <c r="A361" s="110"/>
      <c r="B361" s="111"/>
      <c r="C361" s="32" t="s">
        <v>68</v>
      </c>
      <c r="D361" s="142"/>
      <c r="E361" s="32" t="s">
        <v>68</v>
      </c>
      <c r="F361" s="142"/>
      <c r="G361" s="32" t="s">
        <v>68</v>
      </c>
      <c r="H361" s="142"/>
      <c r="I361" s="32" t="s">
        <v>68</v>
      </c>
      <c r="J361" s="142"/>
      <c r="K361" s="32" t="s">
        <v>68</v>
      </c>
      <c r="L361" s="142"/>
    </row>
    <row r="362" spans="1:12" ht="25.5" customHeight="1" x14ac:dyDescent="0.3">
      <c r="A362" s="109">
        <v>6</v>
      </c>
      <c r="B362" s="111" t="s">
        <v>28</v>
      </c>
      <c r="C362" s="32" t="s">
        <v>66</v>
      </c>
      <c r="D362" s="142" t="s">
        <v>111</v>
      </c>
      <c r="E362" s="32" t="s">
        <v>66</v>
      </c>
      <c r="F362" s="142" t="s">
        <v>111</v>
      </c>
      <c r="G362" s="32" t="s">
        <v>66</v>
      </c>
      <c r="H362" s="142" t="s">
        <v>111</v>
      </c>
      <c r="I362" s="32" t="s">
        <v>66</v>
      </c>
      <c r="J362" s="142" t="s">
        <v>111</v>
      </c>
      <c r="K362" s="32" t="s">
        <v>66</v>
      </c>
      <c r="L362" s="142" t="s">
        <v>111</v>
      </c>
    </row>
    <row r="363" spans="1:12" ht="80.099999999999994" customHeight="1" x14ac:dyDescent="0.3">
      <c r="A363" s="110"/>
      <c r="B363" s="111"/>
      <c r="C363" s="32" t="s">
        <v>68</v>
      </c>
      <c r="D363" s="142"/>
      <c r="E363" s="32" t="s">
        <v>68</v>
      </c>
      <c r="F363" s="142"/>
      <c r="G363" s="32" t="s">
        <v>68</v>
      </c>
      <c r="H363" s="142"/>
      <c r="I363" s="32" t="s">
        <v>68</v>
      </c>
      <c r="J363" s="142"/>
      <c r="K363" s="32" t="s">
        <v>68</v>
      </c>
      <c r="L363" s="142"/>
    </row>
    <row r="364" spans="1:12" ht="25.5" customHeight="1" x14ac:dyDescent="0.3">
      <c r="A364" s="109">
        <v>7</v>
      </c>
      <c r="B364" s="111" t="s">
        <v>29</v>
      </c>
      <c r="C364" s="32" t="s">
        <v>66</v>
      </c>
      <c r="D364" s="142" t="s">
        <v>111</v>
      </c>
      <c r="E364" s="32" t="s">
        <v>66</v>
      </c>
      <c r="F364" s="142" t="s">
        <v>111</v>
      </c>
      <c r="G364" s="32" t="s">
        <v>66</v>
      </c>
      <c r="H364" s="142" t="s">
        <v>111</v>
      </c>
      <c r="I364" s="32" t="s">
        <v>66</v>
      </c>
      <c r="J364" s="142" t="s">
        <v>111</v>
      </c>
      <c r="K364" s="32" t="s">
        <v>66</v>
      </c>
      <c r="L364" s="142" t="s">
        <v>111</v>
      </c>
    </row>
    <row r="365" spans="1:12" ht="80.099999999999994" customHeight="1" x14ac:dyDescent="0.3">
      <c r="A365" s="110"/>
      <c r="B365" s="111"/>
      <c r="C365" s="32" t="s">
        <v>68</v>
      </c>
      <c r="D365" s="142"/>
      <c r="E365" s="32" t="s">
        <v>68</v>
      </c>
      <c r="F365" s="142"/>
      <c r="G365" s="32" t="s">
        <v>68</v>
      </c>
      <c r="H365" s="142"/>
      <c r="I365" s="32" t="s">
        <v>68</v>
      </c>
      <c r="J365" s="142"/>
      <c r="K365" s="32" t="s">
        <v>68</v>
      </c>
      <c r="L365" s="142"/>
    </row>
    <row r="366" spans="1:12" ht="25.5" customHeight="1" x14ac:dyDescent="0.3">
      <c r="A366" s="109">
        <v>8</v>
      </c>
      <c r="B366" s="111" t="s">
        <v>40</v>
      </c>
      <c r="C366" s="32" t="s">
        <v>66</v>
      </c>
      <c r="D366" s="142" t="s">
        <v>111</v>
      </c>
      <c r="E366" s="32" t="s">
        <v>66</v>
      </c>
      <c r="F366" s="142" t="s">
        <v>111</v>
      </c>
      <c r="G366" s="32" t="s">
        <v>66</v>
      </c>
      <c r="H366" s="142" t="s">
        <v>111</v>
      </c>
      <c r="I366" s="32" t="s">
        <v>66</v>
      </c>
      <c r="J366" s="142" t="s">
        <v>111</v>
      </c>
      <c r="K366" s="32" t="s">
        <v>66</v>
      </c>
      <c r="L366" s="142" t="s">
        <v>111</v>
      </c>
    </row>
    <row r="367" spans="1:12" ht="80.099999999999994" customHeight="1" x14ac:dyDescent="0.3">
      <c r="A367" s="110"/>
      <c r="B367" s="111"/>
      <c r="C367" s="32" t="s">
        <v>68</v>
      </c>
      <c r="D367" s="142"/>
      <c r="E367" s="32" t="s">
        <v>68</v>
      </c>
      <c r="F367" s="142"/>
      <c r="G367" s="32" t="s">
        <v>68</v>
      </c>
      <c r="H367" s="142"/>
      <c r="I367" s="32" t="s">
        <v>68</v>
      </c>
      <c r="J367" s="142"/>
      <c r="K367" s="32" t="s">
        <v>68</v>
      </c>
      <c r="L367" s="142"/>
    </row>
    <row r="368" spans="1:12" ht="27" customHeight="1" x14ac:dyDescent="0.3">
      <c r="A368" s="126" t="s">
        <v>12</v>
      </c>
      <c r="B368" s="126" t="s">
        <v>13</v>
      </c>
      <c r="C368" s="124" t="s">
        <v>14</v>
      </c>
      <c r="D368" s="124"/>
      <c r="E368" s="124" t="s">
        <v>15</v>
      </c>
      <c r="F368" s="124"/>
      <c r="G368" s="124" t="s">
        <v>16</v>
      </c>
      <c r="H368" s="124"/>
      <c r="I368" s="124" t="s">
        <v>17</v>
      </c>
      <c r="J368" s="124"/>
      <c r="K368" s="124" t="s">
        <v>18</v>
      </c>
      <c r="L368" s="124"/>
    </row>
    <row r="369" spans="1:12" ht="27" customHeight="1" thickBot="1" x14ac:dyDescent="0.35">
      <c r="A369" s="127"/>
      <c r="B369" s="127"/>
      <c r="C369" s="125">
        <f>K351+3</f>
        <v>46055</v>
      </c>
      <c r="D369" s="125"/>
      <c r="E369" s="125">
        <f>C369+1</f>
        <v>46056</v>
      </c>
      <c r="F369" s="125"/>
      <c r="G369" s="125">
        <f>E369+1</f>
        <v>46057</v>
      </c>
      <c r="H369" s="125"/>
      <c r="I369" s="125">
        <f>G369+1</f>
        <v>46058</v>
      </c>
      <c r="J369" s="125"/>
      <c r="K369" s="125">
        <f>I369+1</f>
        <v>46059</v>
      </c>
      <c r="L369" s="125"/>
    </row>
    <row r="370" spans="1:12" ht="25.5" customHeight="1" thickTop="1" x14ac:dyDescent="0.3">
      <c r="A370" s="109">
        <v>1</v>
      </c>
      <c r="B370" s="119" t="s">
        <v>23</v>
      </c>
      <c r="C370" s="32" t="s">
        <v>66</v>
      </c>
      <c r="D370" s="142" t="s">
        <v>111</v>
      </c>
      <c r="E370" s="30" t="s">
        <v>112</v>
      </c>
      <c r="F370" s="133" t="s">
        <v>111</v>
      </c>
      <c r="G370" s="30" t="s">
        <v>112</v>
      </c>
      <c r="H370" s="133" t="s">
        <v>111</v>
      </c>
      <c r="I370" s="30" t="s">
        <v>112</v>
      </c>
      <c r="J370" s="133" t="s">
        <v>111</v>
      </c>
      <c r="K370" s="30" t="s">
        <v>112</v>
      </c>
      <c r="L370" s="133" t="s">
        <v>111</v>
      </c>
    </row>
    <row r="371" spans="1:12" ht="80.099999999999994" customHeight="1" x14ac:dyDescent="0.3">
      <c r="A371" s="110"/>
      <c r="B371" s="120"/>
      <c r="C371" s="32" t="s">
        <v>68</v>
      </c>
      <c r="D371" s="142"/>
      <c r="E371" s="104" t="s">
        <v>69</v>
      </c>
      <c r="F371" s="133"/>
      <c r="G371" s="104" t="s">
        <v>69</v>
      </c>
      <c r="H371" s="133"/>
      <c r="I371" s="104" t="s">
        <v>69</v>
      </c>
      <c r="J371" s="133"/>
      <c r="K371" s="104" t="s">
        <v>69</v>
      </c>
      <c r="L371" s="133"/>
    </row>
    <row r="372" spans="1:12" ht="25.5" customHeight="1" x14ac:dyDescent="0.3">
      <c r="A372" s="115">
        <v>2</v>
      </c>
      <c r="B372" s="118" t="s">
        <v>24</v>
      </c>
      <c r="C372" s="32" t="s">
        <v>66</v>
      </c>
      <c r="D372" s="142" t="s">
        <v>111</v>
      </c>
      <c r="E372" s="30" t="s">
        <v>112</v>
      </c>
      <c r="F372" s="133" t="s">
        <v>111</v>
      </c>
      <c r="G372" s="30" t="s">
        <v>112</v>
      </c>
      <c r="H372" s="133" t="s">
        <v>111</v>
      </c>
      <c r="I372" s="30" t="s">
        <v>112</v>
      </c>
      <c r="J372" s="133" t="s">
        <v>111</v>
      </c>
      <c r="K372" s="30" t="s">
        <v>112</v>
      </c>
      <c r="L372" s="133" t="s">
        <v>111</v>
      </c>
    </row>
    <row r="373" spans="1:12" ht="80.099999999999994" customHeight="1" x14ac:dyDescent="0.3">
      <c r="A373" s="115"/>
      <c r="B373" s="118"/>
      <c r="C373" s="32" t="s">
        <v>68</v>
      </c>
      <c r="D373" s="142"/>
      <c r="E373" s="104" t="s">
        <v>69</v>
      </c>
      <c r="F373" s="133"/>
      <c r="G373" s="104" t="s">
        <v>69</v>
      </c>
      <c r="H373" s="133"/>
      <c r="I373" s="104" t="s">
        <v>69</v>
      </c>
      <c r="J373" s="133"/>
      <c r="K373" s="104" t="s">
        <v>69</v>
      </c>
      <c r="L373" s="133"/>
    </row>
    <row r="374" spans="1:12" ht="25.5" customHeight="1" x14ac:dyDescent="0.3">
      <c r="A374" s="115">
        <v>3</v>
      </c>
      <c r="B374" s="118" t="s">
        <v>25</v>
      </c>
      <c r="C374" s="30" t="s">
        <v>112</v>
      </c>
      <c r="D374" s="133" t="s">
        <v>111</v>
      </c>
      <c r="E374" s="30" t="s">
        <v>112</v>
      </c>
      <c r="F374" s="133" t="s">
        <v>111</v>
      </c>
      <c r="G374" s="30" t="s">
        <v>112</v>
      </c>
      <c r="H374" s="133" t="s">
        <v>111</v>
      </c>
      <c r="I374" s="30" t="s">
        <v>112</v>
      </c>
      <c r="J374" s="133" t="s">
        <v>111</v>
      </c>
      <c r="K374" s="30" t="s">
        <v>112</v>
      </c>
      <c r="L374" s="133" t="s">
        <v>111</v>
      </c>
    </row>
    <row r="375" spans="1:12" ht="80.099999999999994" customHeight="1" x14ac:dyDescent="0.3">
      <c r="A375" s="115"/>
      <c r="B375" s="118"/>
      <c r="C375" s="104" t="s">
        <v>69</v>
      </c>
      <c r="D375" s="133"/>
      <c r="E375" s="104" t="s">
        <v>69</v>
      </c>
      <c r="F375" s="133"/>
      <c r="G375" s="104" t="s">
        <v>69</v>
      </c>
      <c r="H375" s="133"/>
      <c r="I375" s="104" t="s">
        <v>69</v>
      </c>
      <c r="J375" s="133"/>
      <c r="K375" s="104" t="s">
        <v>69</v>
      </c>
      <c r="L375" s="133"/>
    </row>
    <row r="376" spans="1:12" ht="25.5" customHeight="1" x14ac:dyDescent="0.3">
      <c r="A376" s="115">
        <v>4</v>
      </c>
      <c r="B376" s="118" t="s">
        <v>26</v>
      </c>
      <c r="C376" s="30" t="s">
        <v>112</v>
      </c>
      <c r="D376" s="133" t="s">
        <v>111</v>
      </c>
      <c r="E376" s="30" t="s">
        <v>112</v>
      </c>
      <c r="F376" s="133" t="s">
        <v>111</v>
      </c>
      <c r="G376" s="30" t="s">
        <v>112</v>
      </c>
      <c r="H376" s="133" t="s">
        <v>111</v>
      </c>
      <c r="I376" s="30" t="s">
        <v>112</v>
      </c>
      <c r="J376" s="133" t="s">
        <v>111</v>
      </c>
      <c r="K376" s="30" t="s">
        <v>112</v>
      </c>
      <c r="L376" s="133" t="s">
        <v>111</v>
      </c>
    </row>
    <row r="377" spans="1:12" ht="80.099999999999994" customHeight="1" x14ac:dyDescent="0.3">
      <c r="A377" s="115"/>
      <c r="B377" s="118"/>
      <c r="C377" s="104" t="s">
        <v>69</v>
      </c>
      <c r="D377" s="133"/>
      <c r="E377" s="104" t="s">
        <v>69</v>
      </c>
      <c r="F377" s="133"/>
      <c r="G377" s="104" t="s">
        <v>69</v>
      </c>
      <c r="H377" s="133"/>
      <c r="I377" s="104" t="s">
        <v>69</v>
      </c>
      <c r="J377" s="133"/>
      <c r="K377" s="104" t="s">
        <v>69</v>
      </c>
      <c r="L377" s="133"/>
    </row>
    <row r="378" spans="1:12" ht="25.5" customHeight="1" x14ac:dyDescent="0.3">
      <c r="A378" s="109">
        <v>5</v>
      </c>
      <c r="B378" s="111" t="s">
        <v>27</v>
      </c>
      <c r="C378" s="30" t="s">
        <v>112</v>
      </c>
      <c r="D378" s="133" t="s">
        <v>111</v>
      </c>
      <c r="E378" s="30" t="s">
        <v>112</v>
      </c>
      <c r="F378" s="133" t="s">
        <v>111</v>
      </c>
      <c r="G378" s="30" t="s">
        <v>112</v>
      </c>
      <c r="H378" s="133" t="s">
        <v>111</v>
      </c>
      <c r="I378" s="30" t="s">
        <v>112</v>
      </c>
      <c r="J378" s="133" t="s">
        <v>111</v>
      </c>
      <c r="K378" s="30" t="s">
        <v>112</v>
      </c>
      <c r="L378" s="133" t="s">
        <v>111</v>
      </c>
    </row>
    <row r="379" spans="1:12" ht="80.099999999999994" customHeight="1" x14ac:dyDescent="0.3">
      <c r="A379" s="110"/>
      <c r="B379" s="111"/>
      <c r="C379" s="104" t="s">
        <v>69</v>
      </c>
      <c r="D379" s="133"/>
      <c r="E379" s="104" t="s">
        <v>69</v>
      </c>
      <c r="F379" s="133"/>
      <c r="G379" s="104" t="s">
        <v>69</v>
      </c>
      <c r="H379" s="133"/>
      <c r="I379" s="104" t="s">
        <v>69</v>
      </c>
      <c r="J379" s="133"/>
      <c r="K379" s="104" t="s">
        <v>69</v>
      </c>
      <c r="L379" s="133"/>
    </row>
    <row r="380" spans="1:12" ht="25.5" customHeight="1" x14ac:dyDescent="0.3">
      <c r="A380" s="109">
        <v>6</v>
      </c>
      <c r="B380" s="111" t="s">
        <v>28</v>
      </c>
      <c r="C380" s="30" t="s">
        <v>112</v>
      </c>
      <c r="D380" s="133" t="s">
        <v>111</v>
      </c>
      <c r="E380" s="30" t="s">
        <v>112</v>
      </c>
      <c r="F380" s="133" t="s">
        <v>111</v>
      </c>
      <c r="G380" s="30" t="s">
        <v>112</v>
      </c>
      <c r="H380" s="133" t="s">
        <v>111</v>
      </c>
      <c r="I380" s="30" t="s">
        <v>112</v>
      </c>
      <c r="J380" s="133" t="s">
        <v>111</v>
      </c>
      <c r="K380" s="30" t="s">
        <v>112</v>
      </c>
      <c r="L380" s="133" t="s">
        <v>111</v>
      </c>
    </row>
    <row r="381" spans="1:12" ht="80.099999999999994" customHeight="1" x14ac:dyDescent="0.3">
      <c r="A381" s="110"/>
      <c r="B381" s="111"/>
      <c r="C381" s="104" t="s">
        <v>69</v>
      </c>
      <c r="D381" s="133"/>
      <c r="E381" s="104" t="s">
        <v>69</v>
      </c>
      <c r="F381" s="133"/>
      <c r="G381" s="104" t="s">
        <v>69</v>
      </c>
      <c r="H381" s="133"/>
      <c r="I381" s="104" t="s">
        <v>69</v>
      </c>
      <c r="J381" s="133"/>
      <c r="K381" s="104" t="s">
        <v>69</v>
      </c>
      <c r="L381" s="133"/>
    </row>
    <row r="382" spans="1:12" ht="25.5" customHeight="1" x14ac:dyDescent="0.3">
      <c r="A382" s="109">
        <v>7</v>
      </c>
      <c r="B382" s="111" t="s">
        <v>29</v>
      </c>
      <c r="C382" s="30" t="s">
        <v>112</v>
      </c>
      <c r="D382" s="133" t="s">
        <v>111</v>
      </c>
      <c r="E382" s="30" t="s">
        <v>112</v>
      </c>
      <c r="F382" s="133" t="s">
        <v>111</v>
      </c>
      <c r="G382" s="30" t="s">
        <v>112</v>
      </c>
      <c r="H382" s="133" t="s">
        <v>111</v>
      </c>
      <c r="I382" s="30" t="s">
        <v>112</v>
      </c>
      <c r="J382" s="133" t="s">
        <v>111</v>
      </c>
      <c r="K382" s="30" t="s">
        <v>112</v>
      </c>
      <c r="L382" s="133" t="s">
        <v>111</v>
      </c>
    </row>
    <row r="383" spans="1:12" ht="80.099999999999994" customHeight="1" x14ac:dyDescent="0.3">
      <c r="A383" s="110"/>
      <c r="B383" s="111"/>
      <c r="C383" s="104" t="s">
        <v>69</v>
      </c>
      <c r="D383" s="133"/>
      <c r="E383" s="104" t="s">
        <v>69</v>
      </c>
      <c r="F383" s="133"/>
      <c r="G383" s="104" t="s">
        <v>69</v>
      </c>
      <c r="H383" s="133"/>
      <c r="I383" s="104" t="s">
        <v>69</v>
      </c>
      <c r="J383" s="133"/>
      <c r="K383" s="104" t="s">
        <v>69</v>
      </c>
      <c r="L383" s="133"/>
    </row>
    <row r="384" spans="1:12" ht="25.5" customHeight="1" x14ac:dyDescent="0.3">
      <c r="A384" s="109">
        <v>8</v>
      </c>
      <c r="B384" s="111" t="s">
        <v>40</v>
      </c>
      <c r="C384" s="30" t="s">
        <v>112</v>
      </c>
      <c r="D384" s="133" t="s">
        <v>111</v>
      </c>
      <c r="E384" s="30" t="s">
        <v>112</v>
      </c>
      <c r="F384" s="133" t="s">
        <v>111</v>
      </c>
      <c r="G384" s="30" t="s">
        <v>112</v>
      </c>
      <c r="H384" s="133" t="s">
        <v>111</v>
      </c>
      <c r="I384" s="30" t="s">
        <v>112</v>
      </c>
      <c r="J384" s="133" t="s">
        <v>111</v>
      </c>
      <c r="K384" s="30" t="s">
        <v>112</v>
      </c>
      <c r="L384" s="133" t="s">
        <v>111</v>
      </c>
    </row>
    <row r="385" spans="1:12" ht="80.099999999999994" customHeight="1" x14ac:dyDescent="0.3">
      <c r="A385" s="110"/>
      <c r="B385" s="111"/>
      <c r="C385" s="104" t="s">
        <v>69</v>
      </c>
      <c r="D385" s="133"/>
      <c r="E385" s="104" t="s">
        <v>69</v>
      </c>
      <c r="F385" s="133"/>
      <c r="G385" s="104" t="s">
        <v>69</v>
      </c>
      <c r="H385" s="133"/>
      <c r="I385" s="104" t="s">
        <v>69</v>
      </c>
      <c r="J385" s="133"/>
      <c r="K385" s="104" t="s">
        <v>69</v>
      </c>
      <c r="L385" s="133"/>
    </row>
    <row r="386" spans="1:12" ht="27" customHeight="1" x14ac:dyDescent="0.3">
      <c r="A386" s="126" t="s">
        <v>12</v>
      </c>
      <c r="B386" s="126" t="s">
        <v>13</v>
      </c>
      <c r="C386" s="136" t="s">
        <v>14</v>
      </c>
      <c r="D386" s="137"/>
      <c r="E386" s="136" t="s">
        <v>15</v>
      </c>
      <c r="F386" s="137"/>
      <c r="G386" s="136" t="s">
        <v>16</v>
      </c>
      <c r="H386" s="137"/>
      <c r="I386" s="136" t="s">
        <v>17</v>
      </c>
      <c r="J386" s="137"/>
      <c r="K386" s="124" t="s">
        <v>18</v>
      </c>
      <c r="L386" s="124"/>
    </row>
    <row r="387" spans="1:12" ht="27" customHeight="1" thickBot="1" x14ac:dyDescent="0.35">
      <c r="A387" s="127"/>
      <c r="B387" s="127"/>
      <c r="C387" s="138">
        <f>K369+3</f>
        <v>46062</v>
      </c>
      <c r="D387" s="139"/>
      <c r="E387" s="138">
        <f>C387+1</f>
        <v>46063</v>
      </c>
      <c r="F387" s="139"/>
      <c r="G387" s="138">
        <f>E387+1</f>
        <v>46064</v>
      </c>
      <c r="H387" s="139"/>
      <c r="I387" s="138">
        <f>G387+1</f>
        <v>46065</v>
      </c>
      <c r="J387" s="139"/>
      <c r="K387" s="125">
        <f>I387+1</f>
        <v>46066</v>
      </c>
      <c r="L387" s="125"/>
    </row>
    <row r="388" spans="1:12" ht="25.5" customHeight="1" thickTop="1" x14ac:dyDescent="0.3">
      <c r="A388" s="109">
        <v>1</v>
      </c>
      <c r="B388" s="119" t="s">
        <v>23</v>
      </c>
      <c r="C388" s="30" t="s">
        <v>112</v>
      </c>
      <c r="D388" s="133" t="s">
        <v>111</v>
      </c>
      <c r="E388" s="30" t="s">
        <v>112</v>
      </c>
      <c r="F388" s="133" t="s">
        <v>111</v>
      </c>
      <c r="G388" s="30" t="s">
        <v>112</v>
      </c>
      <c r="H388" s="133" t="s">
        <v>111</v>
      </c>
      <c r="I388" s="30" t="s">
        <v>112</v>
      </c>
      <c r="J388" s="133" t="s">
        <v>111</v>
      </c>
      <c r="K388" s="30" t="s">
        <v>112</v>
      </c>
      <c r="L388" s="133" t="s">
        <v>111</v>
      </c>
    </row>
    <row r="389" spans="1:12" ht="80.099999999999994" customHeight="1" x14ac:dyDescent="0.3">
      <c r="A389" s="110"/>
      <c r="B389" s="120"/>
      <c r="C389" s="104" t="s">
        <v>69</v>
      </c>
      <c r="D389" s="133"/>
      <c r="E389" s="104" t="s">
        <v>69</v>
      </c>
      <c r="F389" s="133"/>
      <c r="G389" s="104" t="s">
        <v>69</v>
      </c>
      <c r="H389" s="133"/>
      <c r="I389" s="104" t="s">
        <v>69</v>
      </c>
      <c r="J389" s="133"/>
      <c r="K389" s="104" t="s">
        <v>69</v>
      </c>
      <c r="L389" s="133"/>
    </row>
    <row r="390" spans="1:12" ht="25.5" customHeight="1" x14ac:dyDescent="0.3">
      <c r="A390" s="115">
        <v>2</v>
      </c>
      <c r="B390" s="118" t="s">
        <v>24</v>
      </c>
      <c r="C390" s="30" t="s">
        <v>112</v>
      </c>
      <c r="D390" s="133" t="s">
        <v>111</v>
      </c>
      <c r="E390" s="30" t="s">
        <v>112</v>
      </c>
      <c r="F390" s="133" t="s">
        <v>111</v>
      </c>
      <c r="G390" s="30" t="s">
        <v>112</v>
      </c>
      <c r="H390" s="133" t="s">
        <v>111</v>
      </c>
      <c r="I390" s="30" t="s">
        <v>112</v>
      </c>
      <c r="J390" s="133" t="s">
        <v>111</v>
      </c>
      <c r="K390" s="30" t="s">
        <v>112</v>
      </c>
      <c r="L390" s="133" t="s">
        <v>111</v>
      </c>
    </row>
    <row r="391" spans="1:12" ht="80.099999999999994" customHeight="1" x14ac:dyDescent="0.3">
      <c r="A391" s="115"/>
      <c r="B391" s="118"/>
      <c r="C391" s="104" t="s">
        <v>69</v>
      </c>
      <c r="D391" s="133"/>
      <c r="E391" s="104" t="s">
        <v>69</v>
      </c>
      <c r="F391" s="133"/>
      <c r="G391" s="104" t="s">
        <v>69</v>
      </c>
      <c r="H391" s="133"/>
      <c r="I391" s="104" t="s">
        <v>69</v>
      </c>
      <c r="J391" s="133"/>
      <c r="K391" s="104" t="s">
        <v>69</v>
      </c>
      <c r="L391" s="133"/>
    </row>
    <row r="392" spans="1:12" ht="25.5" customHeight="1" x14ac:dyDescent="0.3">
      <c r="A392" s="115">
        <v>3</v>
      </c>
      <c r="B392" s="118" t="s">
        <v>25</v>
      </c>
      <c r="C392" s="30" t="s">
        <v>112</v>
      </c>
      <c r="D392" s="133" t="s">
        <v>111</v>
      </c>
      <c r="E392" s="30" t="s">
        <v>112</v>
      </c>
      <c r="F392" s="133" t="s">
        <v>111</v>
      </c>
      <c r="G392" s="30" t="s">
        <v>112</v>
      </c>
      <c r="H392" s="133" t="s">
        <v>111</v>
      </c>
      <c r="I392" s="30" t="s">
        <v>112</v>
      </c>
      <c r="J392" s="133" t="s">
        <v>111</v>
      </c>
      <c r="K392" s="30" t="s">
        <v>112</v>
      </c>
      <c r="L392" s="133" t="s">
        <v>111</v>
      </c>
    </row>
    <row r="393" spans="1:12" ht="80.099999999999994" customHeight="1" x14ac:dyDescent="0.3">
      <c r="A393" s="115"/>
      <c r="B393" s="118"/>
      <c r="C393" s="104" t="s">
        <v>69</v>
      </c>
      <c r="D393" s="133"/>
      <c r="E393" s="104" t="s">
        <v>69</v>
      </c>
      <c r="F393" s="133"/>
      <c r="G393" s="104" t="s">
        <v>69</v>
      </c>
      <c r="H393" s="133"/>
      <c r="I393" s="104" t="s">
        <v>69</v>
      </c>
      <c r="J393" s="133"/>
      <c r="K393" s="104" t="s">
        <v>69</v>
      </c>
      <c r="L393" s="133"/>
    </row>
    <row r="394" spans="1:12" ht="25.5" customHeight="1" x14ac:dyDescent="0.3">
      <c r="A394" s="115">
        <v>4</v>
      </c>
      <c r="B394" s="118" t="s">
        <v>26</v>
      </c>
      <c r="C394" s="30" t="s">
        <v>112</v>
      </c>
      <c r="D394" s="133" t="s">
        <v>111</v>
      </c>
      <c r="E394" s="30" t="s">
        <v>112</v>
      </c>
      <c r="F394" s="133" t="s">
        <v>111</v>
      </c>
      <c r="G394" s="30" t="s">
        <v>112</v>
      </c>
      <c r="H394" s="133" t="s">
        <v>111</v>
      </c>
      <c r="I394" s="30" t="s">
        <v>112</v>
      </c>
      <c r="J394" s="133" t="s">
        <v>111</v>
      </c>
      <c r="K394" s="30" t="s">
        <v>112</v>
      </c>
      <c r="L394" s="133" t="s">
        <v>111</v>
      </c>
    </row>
    <row r="395" spans="1:12" ht="80.099999999999994" customHeight="1" x14ac:dyDescent="0.3">
      <c r="A395" s="115"/>
      <c r="B395" s="118"/>
      <c r="C395" s="104" t="s">
        <v>69</v>
      </c>
      <c r="D395" s="133"/>
      <c r="E395" s="104" t="s">
        <v>69</v>
      </c>
      <c r="F395" s="133"/>
      <c r="G395" s="104" t="s">
        <v>69</v>
      </c>
      <c r="H395" s="133"/>
      <c r="I395" s="104" t="s">
        <v>69</v>
      </c>
      <c r="J395" s="133"/>
      <c r="K395" s="104" t="s">
        <v>69</v>
      </c>
      <c r="L395" s="133"/>
    </row>
    <row r="396" spans="1:12" ht="25.5" customHeight="1" x14ac:dyDescent="0.3">
      <c r="A396" s="109">
        <v>5</v>
      </c>
      <c r="B396" s="111" t="s">
        <v>27</v>
      </c>
      <c r="C396" s="30" t="s">
        <v>112</v>
      </c>
      <c r="D396" s="133" t="s">
        <v>111</v>
      </c>
      <c r="E396" s="30" t="s">
        <v>112</v>
      </c>
      <c r="F396" s="133" t="s">
        <v>111</v>
      </c>
      <c r="G396" s="30" t="s">
        <v>112</v>
      </c>
      <c r="H396" s="133" t="s">
        <v>111</v>
      </c>
      <c r="I396" s="30" t="s">
        <v>112</v>
      </c>
      <c r="J396" s="133" t="s">
        <v>111</v>
      </c>
      <c r="K396" s="30" t="s">
        <v>112</v>
      </c>
      <c r="L396" s="133" t="s">
        <v>111</v>
      </c>
    </row>
    <row r="397" spans="1:12" ht="80.099999999999994" customHeight="1" x14ac:dyDescent="0.3">
      <c r="A397" s="110"/>
      <c r="B397" s="111"/>
      <c r="C397" s="104" t="s">
        <v>69</v>
      </c>
      <c r="D397" s="133"/>
      <c r="E397" s="104" t="s">
        <v>69</v>
      </c>
      <c r="F397" s="133"/>
      <c r="G397" s="104" t="s">
        <v>69</v>
      </c>
      <c r="H397" s="133"/>
      <c r="I397" s="104" t="s">
        <v>69</v>
      </c>
      <c r="J397" s="133"/>
      <c r="K397" s="104" t="s">
        <v>69</v>
      </c>
      <c r="L397" s="133"/>
    </row>
    <row r="398" spans="1:12" ht="25.5" customHeight="1" x14ac:dyDescent="0.3">
      <c r="A398" s="109">
        <v>6</v>
      </c>
      <c r="B398" s="111" t="s">
        <v>28</v>
      </c>
      <c r="C398" s="30" t="s">
        <v>112</v>
      </c>
      <c r="D398" s="133" t="s">
        <v>111</v>
      </c>
      <c r="E398" s="30" t="s">
        <v>112</v>
      </c>
      <c r="F398" s="133" t="s">
        <v>111</v>
      </c>
      <c r="G398" s="30" t="s">
        <v>112</v>
      </c>
      <c r="H398" s="133" t="s">
        <v>111</v>
      </c>
      <c r="I398" s="30" t="s">
        <v>112</v>
      </c>
      <c r="J398" s="133" t="s">
        <v>111</v>
      </c>
      <c r="K398" s="44" t="s">
        <v>90</v>
      </c>
      <c r="L398" s="140" t="s">
        <v>113</v>
      </c>
    </row>
    <row r="399" spans="1:12" ht="80.099999999999994" customHeight="1" x14ac:dyDescent="0.3">
      <c r="A399" s="110"/>
      <c r="B399" s="111"/>
      <c r="C399" s="104" t="s">
        <v>69</v>
      </c>
      <c r="D399" s="133"/>
      <c r="E399" s="104" t="s">
        <v>69</v>
      </c>
      <c r="F399" s="133"/>
      <c r="G399" s="104" t="s">
        <v>69</v>
      </c>
      <c r="H399" s="133"/>
      <c r="I399" s="104" t="s">
        <v>69</v>
      </c>
      <c r="J399" s="133"/>
      <c r="K399" s="44" t="s">
        <v>30</v>
      </c>
      <c r="L399" s="141"/>
    </row>
    <row r="400" spans="1:12" ht="25.5" customHeight="1" x14ac:dyDescent="0.3">
      <c r="A400" s="109">
        <v>7</v>
      </c>
      <c r="B400" s="111" t="s">
        <v>29</v>
      </c>
      <c r="C400" s="30" t="s">
        <v>112</v>
      </c>
      <c r="D400" s="133" t="s">
        <v>111</v>
      </c>
      <c r="E400" s="30" t="s">
        <v>112</v>
      </c>
      <c r="F400" s="133" t="s">
        <v>111</v>
      </c>
      <c r="G400" s="30" t="s">
        <v>112</v>
      </c>
      <c r="H400" s="133" t="s">
        <v>111</v>
      </c>
      <c r="I400" s="30" t="s">
        <v>112</v>
      </c>
      <c r="J400" s="133" t="s">
        <v>111</v>
      </c>
      <c r="K400" s="99"/>
      <c r="L400" s="134"/>
    </row>
    <row r="401" spans="1:12" ht="80.099999999999994" customHeight="1" x14ac:dyDescent="0.3">
      <c r="A401" s="110"/>
      <c r="B401" s="111"/>
      <c r="C401" s="104" t="s">
        <v>69</v>
      </c>
      <c r="D401" s="133"/>
      <c r="E401" s="104" t="s">
        <v>69</v>
      </c>
      <c r="F401" s="133"/>
      <c r="G401" s="104" t="s">
        <v>69</v>
      </c>
      <c r="H401" s="133"/>
      <c r="I401" s="104" t="s">
        <v>69</v>
      </c>
      <c r="J401" s="133"/>
      <c r="K401" s="99"/>
      <c r="L401" s="135"/>
    </row>
    <row r="402" spans="1:12" ht="25.5" customHeight="1" x14ac:dyDescent="0.3">
      <c r="A402" s="109">
        <v>8</v>
      </c>
      <c r="B402" s="111" t="s">
        <v>40</v>
      </c>
      <c r="C402" s="30" t="s">
        <v>112</v>
      </c>
      <c r="D402" s="133" t="s">
        <v>111</v>
      </c>
      <c r="E402" s="30" t="s">
        <v>112</v>
      </c>
      <c r="F402" s="133" t="s">
        <v>111</v>
      </c>
      <c r="G402" s="30" t="s">
        <v>112</v>
      </c>
      <c r="H402" s="133" t="s">
        <v>111</v>
      </c>
      <c r="I402" s="30" t="s">
        <v>112</v>
      </c>
      <c r="J402" s="133" t="s">
        <v>111</v>
      </c>
      <c r="K402" s="99"/>
      <c r="L402" s="134"/>
    </row>
    <row r="403" spans="1:12" ht="80.099999999999994" customHeight="1" x14ac:dyDescent="0.3">
      <c r="A403" s="110"/>
      <c r="B403" s="111"/>
      <c r="C403" s="104" t="s">
        <v>69</v>
      </c>
      <c r="D403" s="133"/>
      <c r="E403" s="104" t="s">
        <v>69</v>
      </c>
      <c r="F403" s="133"/>
      <c r="G403" s="104" t="s">
        <v>69</v>
      </c>
      <c r="H403" s="133"/>
      <c r="I403" s="104" t="s">
        <v>69</v>
      </c>
      <c r="J403" s="133"/>
      <c r="K403" s="99"/>
      <c r="L403" s="135"/>
    </row>
    <row r="404" spans="1:12" ht="27" customHeight="1" x14ac:dyDescent="0.3">
      <c r="A404" s="126" t="s">
        <v>12</v>
      </c>
      <c r="B404" s="126" t="s">
        <v>13</v>
      </c>
      <c r="C404" s="124" t="s">
        <v>14</v>
      </c>
      <c r="D404" s="124"/>
      <c r="E404" s="124" t="s">
        <v>15</v>
      </c>
      <c r="F404" s="124"/>
      <c r="G404" s="124" t="s">
        <v>16</v>
      </c>
      <c r="H404" s="124"/>
      <c r="I404" s="124" t="s">
        <v>17</v>
      </c>
      <c r="J404" s="124"/>
      <c r="K404" s="124" t="s">
        <v>18</v>
      </c>
      <c r="L404" s="124"/>
    </row>
    <row r="405" spans="1:12" ht="27" customHeight="1" thickBot="1" x14ac:dyDescent="0.35">
      <c r="A405" s="127"/>
      <c r="B405" s="127"/>
      <c r="C405" s="125">
        <f>K387+3</f>
        <v>46069</v>
      </c>
      <c r="D405" s="125"/>
      <c r="E405" s="125">
        <f>C405+1</f>
        <v>46070</v>
      </c>
      <c r="F405" s="125"/>
      <c r="G405" s="125">
        <f>E405+1</f>
        <v>46071</v>
      </c>
      <c r="H405" s="125"/>
      <c r="I405" s="125">
        <f>G405+1</f>
        <v>46072</v>
      </c>
      <c r="J405" s="125"/>
      <c r="K405" s="125">
        <f>I405+1</f>
        <v>46073</v>
      </c>
      <c r="L405" s="125"/>
    </row>
    <row r="406" spans="1:12" ht="25.5" customHeight="1" thickTop="1" x14ac:dyDescent="0.3">
      <c r="A406" s="109">
        <v>1</v>
      </c>
      <c r="B406" s="119" t="s">
        <v>23</v>
      </c>
      <c r="C406" s="64"/>
      <c r="D406" s="131"/>
      <c r="E406" s="64"/>
      <c r="F406" s="131"/>
      <c r="G406" s="64"/>
      <c r="H406" s="131"/>
      <c r="I406" s="64"/>
      <c r="J406" s="131"/>
      <c r="K406" s="64"/>
      <c r="L406" s="131"/>
    </row>
    <row r="407" spans="1:12" ht="80.099999999999994" customHeight="1" x14ac:dyDescent="0.3">
      <c r="A407" s="110"/>
      <c r="B407" s="120"/>
      <c r="C407" s="70"/>
      <c r="D407" s="132"/>
      <c r="E407" s="70"/>
      <c r="F407" s="132"/>
      <c r="G407" s="70"/>
      <c r="H407" s="132"/>
      <c r="I407" s="70"/>
      <c r="J407" s="132"/>
      <c r="K407" s="70"/>
      <c r="L407" s="132"/>
    </row>
    <row r="408" spans="1:12" ht="25.5" customHeight="1" x14ac:dyDescent="0.3">
      <c r="A408" s="115">
        <v>2</v>
      </c>
      <c r="B408" s="118" t="s">
        <v>24</v>
      </c>
      <c r="C408" s="64"/>
      <c r="D408" s="131"/>
      <c r="E408" s="64"/>
      <c r="F408" s="131"/>
      <c r="G408" s="64"/>
      <c r="H408" s="131"/>
      <c r="I408" s="64"/>
      <c r="J408" s="131"/>
      <c r="K408" s="64"/>
      <c r="L408" s="131"/>
    </row>
    <row r="409" spans="1:12" ht="80.099999999999994" customHeight="1" x14ac:dyDescent="0.3">
      <c r="A409" s="115"/>
      <c r="B409" s="118"/>
      <c r="C409" s="70"/>
      <c r="D409" s="132"/>
      <c r="E409" s="70"/>
      <c r="F409" s="132"/>
      <c r="G409" s="70"/>
      <c r="H409" s="132"/>
      <c r="I409" s="70"/>
      <c r="J409" s="132"/>
      <c r="K409" s="70"/>
      <c r="L409" s="132"/>
    </row>
    <row r="410" spans="1:12" ht="25.5" customHeight="1" x14ac:dyDescent="0.3">
      <c r="A410" s="115">
        <v>3</v>
      </c>
      <c r="B410" s="118" t="s">
        <v>25</v>
      </c>
      <c r="C410" s="64"/>
      <c r="D410" s="131"/>
      <c r="E410" s="64"/>
      <c r="F410" s="131"/>
      <c r="G410" s="64"/>
      <c r="H410" s="131"/>
      <c r="I410" s="64"/>
      <c r="J410" s="131"/>
      <c r="K410" s="64"/>
      <c r="L410" s="131"/>
    </row>
    <row r="411" spans="1:12" ht="80.099999999999994" customHeight="1" x14ac:dyDescent="0.3">
      <c r="A411" s="115"/>
      <c r="B411" s="118"/>
      <c r="C411" s="70"/>
      <c r="D411" s="132"/>
      <c r="E411" s="70"/>
      <c r="F411" s="132"/>
      <c r="G411" s="70"/>
      <c r="H411" s="132"/>
      <c r="I411" s="70"/>
      <c r="J411" s="132"/>
      <c r="K411" s="70"/>
      <c r="L411" s="132"/>
    </row>
    <row r="412" spans="1:12" ht="25.5" customHeight="1" x14ac:dyDescent="0.3">
      <c r="A412" s="115">
        <v>4</v>
      </c>
      <c r="B412" s="118" t="s">
        <v>26</v>
      </c>
      <c r="C412" s="64"/>
      <c r="D412" s="131"/>
      <c r="E412" s="64"/>
      <c r="F412" s="131"/>
      <c r="G412" s="64"/>
      <c r="H412" s="131"/>
      <c r="I412" s="64"/>
      <c r="J412" s="131"/>
      <c r="K412" s="64"/>
      <c r="L412" s="131"/>
    </row>
    <row r="413" spans="1:12" ht="80.099999999999994" customHeight="1" x14ac:dyDescent="0.3">
      <c r="A413" s="115"/>
      <c r="B413" s="118"/>
      <c r="C413" s="70"/>
      <c r="D413" s="132"/>
      <c r="E413" s="70"/>
      <c r="F413" s="132"/>
      <c r="G413" s="70"/>
      <c r="H413" s="132"/>
      <c r="I413" s="70"/>
      <c r="J413" s="132"/>
      <c r="K413" s="70"/>
      <c r="L413" s="132"/>
    </row>
    <row r="414" spans="1:12" ht="25.5" customHeight="1" x14ac:dyDescent="0.3">
      <c r="A414" s="109">
        <v>5</v>
      </c>
      <c r="B414" s="111" t="s">
        <v>27</v>
      </c>
      <c r="C414" s="64"/>
      <c r="D414" s="131"/>
      <c r="E414" s="64"/>
      <c r="F414" s="131"/>
      <c r="G414" s="64"/>
      <c r="H414" s="131"/>
      <c r="I414" s="64"/>
      <c r="J414" s="131"/>
      <c r="K414" s="64"/>
      <c r="L414" s="131"/>
    </row>
    <row r="415" spans="1:12" ht="80.099999999999994" customHeight="1" x14ac:dyDescent="0.3">
      <c r="A415" s="110"/>
      <c r="B415" s="111"/>
      <c r="C415" s="70"/>
      <c r="D415" s="132"/>
      <c r="E415" s="70"/>
      <c r="F415" s="132"/>
      <c r="G415" s="70"/>
      <c r="H415" s="132"/>
      <c r="I415" s="70"/>
      <c r="J415" s="132"/>
      <c r="K415" s="70"/>
      <c r="L415" s="132"/>
    </row>
    <row r="416" spans="1:12" ht="25.5" customHeight="1" x14ac:dyDescent="0.3">
      <c r="A416" s="109">
        <v>6</v>
      </c>
      <c r="B416" s="111" t="s">
        <v>28</v>
      </c>
      <c r="C416" s="64"/>
      <c r="D416" s="131"/>
      <c r="E416" s="64"/>
      <c r="F416" s="131"/>
      <c r="G416" s="64"/>
      <c r="H416" s="131"/>
      <c r="I416" s="64"/>
      <c r="J416" s="131"/>
      <c r="K416" s="64"/>
      <c r="L416" s="131"/>
    </row>
    <row r="417" spans="1:12" ht="80.099999999999994" customHeight="1" x14ac:dyDescent="0.3">
      <c r="A417" s="110"/>
      <c r="B417" s="111"/>
      <c r="C417" s="70"/>
      <c r="D417" s="132"/>
      <c r="E417" s="70"/>
      <c r="F417" s="132"/>
      <c r="G417" s="70"/>
      <c r="H417" s="132"/>
      <c r="I417" s="70"/>
      <c r="J417" s="132"/>
      <c r="K417" s="70"/>
      <c r="L417" s="132"/>
    </row>
    <row r="418" spans="1:12" ht="25.5" customHeight="1" x14ac:dyDescent="0.3">
      <c r="A418" s="109">
        <v>7</v>
      </c>
      <c r="B418" s="111" t="s">
        <v>29</v>
      </c>
      <c r="C418" s="64"/>
      <c r="D418" s="131"/>
      <c r="E418" s="64"/>
      <c r="F418" s="131"/>
      <c r="G418" s="64"/>
      <c r="H418" s="131"/>
      <c r="I418" s="64"/>
      <c r="J418" s="131"/>
      <c r="K418" s="64"/>
      <c r="L418" s="131"/>
    </row>
    <row r="419" spans="1:12" ht="80.099999999999994" customHeight="1" x14ac:dyDescent="0.3">
      <c r="A419" s="110"/>
      <c r="B419" s="111"/>
      <c r="C419" s="70"/>
      <c r="D419" s="132"/>
      <c r="E419" s="70"/>
      <c r="F419" s="132"/>
      <c r="G419" s="70"/>
      <c r="H419" s="132"/>
      <c r="I419" s="70"/>
      <c r="J419" s="132"/>
      <c r="K419" s="70"/>
      <c r="L419" s="132"/>
    </row>
    <row r="420" spans="1:12" ht="25.5" customHeight="1" x14ac:dyDescent="0.3">
      <c r="A420" s="109">
        <v>8</v>
      </c>
      <c r="B420" s="111" t="s">
        <v>40</v>
      </c>
      <c r="C420" s="64"/>
      <c r="D420" s="131"/>
      <c r="E420" s="64"/>
      <c r="F420" s="131"/>
      <c r="G420" s="64"/>
      <c r="H420" s="131"/>
      <c r="I420" s="64"/>
      <c r="J420" s="131"/>
      <c r="K420" s="64"/>
      <c r="L420" s="131"/>
    </row>
    <row r="421" spans="1:12" ht="80.099999999999994" customHeight="1" x14ac:dyDescent="0.3">
      <c r="A421" s="110"/>
      <c r="B421" s="111"/>
      <c r="C421" s="70"/>
      <c r="D421" s="132"/>
      <c r="E421" s="70"/>
      <c r="F421" s="132"/>
      <c r="G421" s="70"/>
      <c r="H421" s="132"/>
      <c r="I421" s="70"/>
      <c r="J421" s="132"/>
      <c r="K421" s="70"/>
      <c r="L421" s="132"/>
    </row>
    <row r="422" spans="1:12" ht="27" customHeight="1" x14ac:dyDescent="0.3">
      <c r="A422" s="126" t="s">
        <v>12</v>
      </c>
      <c r="B422" s="126" t="s">
        <v>13</v>
      </c>
      <c r="C422" s="124" t="s">
        <v>14</v>
      </c>
      <c r="D422" s="124"/>
      <c r="E422" s="124" t="s">
        <v>15</v>
      </c>
      <c r="F422" s="124"/>
      <c r="G422" s="124" t="s">
        <v>16</v>
      </c>
      <c r="H422" s="124"/>
      <c r="I422" s="124" t="s">
        <v>17</v>
      </c>
      <c r="J422" s="124"/>
      <c r="K422" s="124" t="s">
        <v>18</v>
      </c>
      <c r="L422" s="124"/>
    </row>
    <row r="423" spans="1:12" ht="27" customHeight="1" thickBot="1" x14ac:dyDescent="0.35">
      <c r="A423" s="127"/>
      <c r="B423" s="127"/>
      <c r="C423" s="125">
        <f>K405+3</f>
        <v>46076</v>
      </c>
      <c r="D423" s="125"/>
      <c r="E423" s="125">
        <f>C423+1</f>
        <v>46077</v>
      </c>
      <c r="F423" s="125"/>
      <c r="G423" s="125">
        <f>E423+1</f>
        <v>46078</v>
      </c>
      <c r="H423" s="125"/>
      <c r="I423" s="125">
        <f>G423+1</f>
        <v>46079</v>
      </c>
      <c r="J423" s="125"/>
      <c r="K423" s="125">
        <f>I423+1</f>
        <v>46080</v>
      </c>
      <c r="L423" s="125"/>
    </row>
    <row r="424" spans="1:12" ht="25.5" customHeight="1" thickTop="1" x14ac:dyDescent="0.3">
      <c r="A424" s="109">
        <v>1</v>
      </c>
      <c r="B424" s="119" t="s">
        <v>23</v>
      </c>
      <c r="C424" s="15"/>
      <c r="D424" s="128"/>
      <c r="E424" s="15"/>
      <c r="F424" s="128"/>
      <c r="G424" s="15"/>
      <c r="H424" s="128"/>
      <c r="I424" s="15"/>
      <c r="J424" s="128"/>
      <c r="K424" s="62"/>
      <c r="L424" s="129"/>
    </row>
    <row r="425" spans="1:12" ht="80.099999999999994" customHeight="1" x14ac:dyDescent="0.3">
      <c r="A425" s="110"/>
      <c r="B425" s="120"/>
      <c r="C425" s="15"/>
      <c r="D425" s="128"/>
      <c r="E425" s="15"/>
      <c r="F425" s="128"/>
      <c r="G425" s="15"/>
      <c r="H425" s="128"/>
      <c r="I425" s="15"/>
      <c r="J425" s="128"/>
      <c r="K425" s="62"/>
      <c r="L425" s="130"/>
    </row>
    <row r="426" spans="1:12" ht="25.5" customHeight="1" x14ac:dyDescent="0.3">
      <c r="A426" s="115">
        <v>2</v>
      </c>
      <c r="B426" s="118" t="s">
        <v>24</v>
      </c>
      <c r="C426" s="15"/>
      <c r="D426" s="128"/>
      <c r="E426" s="15"/>
      <c r="F426" s="128"/>
      <c r="G426" s="15"/>
      <c r="H426" s="128"/>
      <c r="I426" s="15"/>
      <c r="J426" s="128"/>
      <c r="K426" s="62"/>
      <c r="L426" s="129"/>
    </row>
    <row r="427" spans="1:12" ht="80.099999999999994" customHeight="1" x14ac:dyDescent="0.3">
      <c r="A427" s="115"/>
      <c r="B427" s="118"/>
      <c r="C427" s="15"/>
      <c r="D427" s="128"/>
      <c r="E427" s="15"/>
      <c r="F427" s="128"/>
      <c r="G427" s="15"/>
      <c r="H427" s="128"/>
      <c r="I427" s="15"/>
      <c r="J427" s="128"/>
      <c r="K427" s="62"/>
      <c r="L427" s="130"/>
    </row>
    <row r="428" spans="1:12" ht="25.5" customHeight="1" x14ac:dyDescent="0.3">
      <c r="A428" s="115">
        <v>3</v>
      </c>
      <c r="B428" s="118" t="s">
        <v>25</v>
      </c>
      <c r="C428" s="15"/>
      <c r="D428" s="128"/>
      <c r="E428" s="15"/>
      <c r="F428" s="128"/>
      <c r="G428" s="15"/>
      <c r="H428" s="128"/>
      <c r="I428" s="15"/>
      <c r="J428" s="128"/>
      <c r="K428" s="62"/>
      <c r="L428" s="129"/>
    </row>
    <row r="429" spans="1:12" ht="80.099999999999994" customHeight="1" x14ac:dyDescent="0.3">
      <c r="A429" s="115"/>
      <c r="B429" s="118"/>
      <c r="C429" s="15"/>
      <c r="D429" s="128"/>
      <c r="E429" s="15"/>
      <c r="F429" s="128"/>
      <c r="G429" s="15"/>
      <c r="H429" s="128"/>
      <c r="I429" s="15"/>
      <c r="J429" s="128"/>
      <c r="K429" s="62"/>
      <c r="L429" s="130"/>
    </row>
    <row r="430" spans="1:12" ht="25.5" customHeight="1" x14ac:dyDescent="0.3">
      <c r="A430" s="115">
        <v>4</v>
      </c>
      <c r="B430" s="118" t="s">
        <v>26</v>
      </c>
      <c r="C430" s="15"/>
      <c r="D430" s="128"/>
      <c r="E430" s="15"/>
      <c r="F430" s="128"/>
      <c r="G430" s="15"/>
      <c r="H430" s="128"/>
      <c r="I430" s="15"/>
      <c r="J430" s="128"/>
      <c r="K430" s="62"/>
      <c r="L430" s="129"/>
    </row>
    <row r="431" spans="1:12" ht="80.099999999999994" customHeight="1" x14ac:dyDescent="0.3">
      <c r="A431" s="115"/>
      <c r="B431" s="118"/>
      <c r="C431" s="15"/>
      <c r="D431" s="128"/>
      <c r="E431" s="15"/>
      <c r="F431" s="128"/>
      <c r="G431" s="15"/>
      <c r="H431" s="128"/>
      <c r="I431" s="15"/>
      <c r="J431" s="128"/>
      <c r="K431" s="62"/>
      <c r="L431" s="130"/>
    </row>
    <row r="432" spans="1:12" ht="25.5" customHeight="1" x14ac:dyDescent="0.3">
      <c r="A432" s="109">
        <v>5</v>
      </c>
      <c r="B432" s="111" t="s">
        <v>27</v>
      </c>
      <c r="C432" s="15"/>
      <c r="D432" s="128"/>
      <c r="E432" s="15"/>
      <c r="F432" s="128"/>
      <c r="G432" s="15"/>
      <c r="H432" s="128"/>
      <c r="I432" s="62"/>
      <c r="J432" s="129"/>
      <c r="K432" s="62"/>
      <c r="L432" s="129"/>
    </row>
    <row r="433" spans="1:12" ht="80.099999999999994" customHeight="1" x14ac:dyDescent="0.3">
      <c r="A433" s="110"/>
      <c r="B433" s="111"/>
      <c r="C433" s="15"/>
      <c r="D433" s="128"/>
      <c r="E433" s="15"/>
      <c r="F433" s="128"/>
      <c r="G433" s="15"/>
      <c r="H433" s="128"/>
      <c r="I433" s="62"/>
      <c r="J433" s="130"/>
      <c r="K433" s="62"/>
      <c r="L433" s="130"/>
    </row>
    <row r="434" spans="1:12" ht="25.5" customHeight="1" x14ac:dyDescent="0.3">
      <c r="A434" s="109">
        <v>6</v>
      </c>
      <c r="B434" s="111" t="s">
        <v>28</v>
      </c>
      <c r="C434" s="15"/>
      <c r="D434" s="128"/>
      <c r="E434" s="15"/>
      <c r="F434" s="128"/>
      <c r="G434" s="15"/>
      <c r="H434" s="128"/>
      <c r="I434" s="62"/>
      <c r="J434" s="129"/>
      <c r="K434" s="62"/>
      <c r="L434" s="129"/>
    </row>
    <row r="435" spans="1:12" ht="80.099999999999994" customHeight="1" x14ac:dyDescent="0.3">
      <c r="A435" s="110"/>
      <c r="B435" s="111"/>
      <c r="C435" s="15"/>
      <c r="D435" s="128"/>
      <c r="E435" s="15"/>
      <c r="F435" s="128"/>
      <c r="G435" s="15"/>
      <c r="H435" s="128"/>
      <c r="I435" s="62"/>
      <c r="J435" s="130"/>
      <c r="K435" s="62"/>
      <c r="L435" s="130"/>
    </row>
    <row r="436" spans="1:12" ht="25.5" customHeight="1" x14ac:dyDescent="0.3">
      <c r="A436" s="109">
        <v>7</v>
      </c>
      <c r="B436" s="111" t="s">
        <v>29</v>
      </c>
      <c r="C436" s="15"/>
      <c r="D436" s="128"/>
      <c r="E436" s="15"/>
      <c r="F436" s="128"/>
      <c r="G436" s="15"/>
      <c r="H436" s="128"/>
      <c r="I436" s="62"/>
      <c r="J436" s="129"/>
      <c r="K436" s="62"/>
      <c r="L436" s="129"/>
    </row>
    <row r="437" spans="1:12" ht="80.099999999999994" customHeight="1" x14ac:dyDescent="0.3">
      <c r="A437" s="110"/>
      <c r="B437" s="111"/>
      <c r="C437" s="15"/>
      <c r="D437" s="128"/>
      <c r="E437" s="15"/>
      <c r="F437" s="128"/>
      <c r="G437" s="15"/>
      <c r="H437" s="128"/>
      <c r="I437" s="62"/>
      <c r="J437" s="130"/>
      <c r="K437" s="62"/>
      <c r="L437" s="130"/>
    </row>
    <row r="438" spans="1:12" ht="25.5" customHeight="1" x14ac:dyDescent="0.3">
      <c r="A438" s="109">
        <v>8</v>
      </c>
      <c r="B438" s="111" t="s">
        <v>40</v>
      </c>
      <c r="C438" s="15"/>
      <c r="D438" s="128"/>
      <c r="E438" s="15"/>
      <c r="F438" s="128"/>
      <c r="G438" s="15"/>
      <c r="H438" s="128"/>
      <c r="I438" s="62"/>
      <c r="J438" s="129"/>
      <c r="K438" s="62"/>
      <c r="L438" s="129"/>
    </row>
    <row r="439" spans="1:12" ht="80.099999999999994" customHeight="1" x14ac:dyDescent="0.3">
      <c r="A439" s="110"/>
      <c r="B439" s="111"/>
      <c r="C439" s="15"/>
      <c r="D439" s="128"/>
      <c r="E439" s="15"/>
      <c r="F439" s="128"/>
      <c r="G439" s="15"/>
      <c r="H439" s="128"/>
      <c r="I439" s="62"/>
      <c r="J439" s="130"/>
      <c r="K439" s="62"/>
      <c r="L439" s="130"/>
    </row>
    <row r="440" spans="1:12" ht="27" customHeight="1" x14ac:dyDescent="0.3">
      <c r="A440" s="126" t="s">
        <v>12</v>
      </c>
      <c r="B440" s="126" t="s">
        <v>13</v>
      </c>
      <c r="C440" s="124" t="s">
        <v>14</v>
      </c>
      <c r="D440" s="124"/>
      <c r="E440" s="124" t="s">
        <v>15</v>
      </c>
      <c r="F440" s="124"/>
      <c r="G440" s="124" t="s">
        <v>16</v>
      </c>
      <c r="H440" s="124"/>
      <c r="I440" s="124" t="s">
        <v>17</v>
      </c>
      <c r="J440" s="124"/>
      <c r="K440" s="124" t="s">
        <v>18</v>
      </c>
      <c r="L440" s="124"/>
    </row>
    <row r="441" spans="1:12" ht="27" customHeight="1" thickBot="1" x14ac:dyDescent="0.35">
      <c r="A441" s="127"/>
      <c r="B441" s="127"/>
      <c r="C441" s="125">
        <f>K423+3</f>
        <v>46083</v>
      </c>
      <c r="D441" s="125"/>
      <c r="E441" s="125">
        <f>C441+1</f>
        <v>46084</v>
      </c>
      <c r="F441" s="125"/>
      <c r="G441" s="125">
        <f>E441+1</f>
        <v>46085</v>
      </c>
      <c r="H441" s="125"/>
      <c r="I441" s="125">
        <f>G441+1</f>
        <v>46086</v>
      </c>
      <c r="J441" s="125"/>
      <c r="K441" s="125">
        <f>I441+1</f>
        <v>46087</v>
      </c>
      <c r="L441" s="125"/>
    </row>
    <row r="442" spans="1:12" ht="25.5" customHeight="1" thickTop="1" x14ac:dyDescent="0.3">
      <c r="A442" s="109">
        <v>1</v>
      </c>
      <c r="B442" s="119" t="s">
        <v>23</v>
      </c>
      <c r="C442" s="65"/>
      <c r="D442" s="122"/>
      <c r="E442" s="65"/>
      <c r="F442" s="122"/>
      <c r="G442" s="65"/>
      <c r="H442" s="122"/>
      <c r="I442" s="65"/>
      <c r="J442" s="122"/>
      <c r="K442" s="65"/>
      <c r="L442" s="122"/>
    </row>
    <row r="443" spans="1:12" ht="80.099999999999994" customHeight="1" x14ac:dyDescent="0.3">
      <c r="A443" s="110"/>
      <c r="B443" s="120"/>
      <c r="C443" s="65"/>
      <c r="D443" s="123"/>
      <c r="E443" s="65"/>
      <c r="F443" s="123"/>
      <c r="G443" s="65"/>
      <c r="H443" s="123"/>
      <c r="I443" s="65"/>
      <c r="J443" s="123"/>
      <c r="K443" s="65"/>
      <c r="L443" s="123"/>
    </row>
    <row r="444" spans="1:12" ht="25.5" customHeight="1" x14ac:dyDescent="0.3">
      <c r="A444" s="115">
        <v>2</v>
      </c>
      <c r="B444" s="118" t="s">
        <v>24</v>
      </c>
      <c r="C444" s="65"/>
      <c r="D444" s="122"/>
      <c r="E444" s="65"/>
      <c r="F444" s="122"/>
      <c r="G444" s="65"/>
      <c r="H444" s="122"/>
      <c r="I444" s="65"/>
      <c r="J444" s="122"/>
      <c r="K444" s="65"/>
      <c r="L444" s="122"/>
    </row>
    <row r="445" spans="1:12" ht="80.099999999999994" customHeight="1" x14ac:dyDescent="0.3">
      <c r="A445" s="115"/>
      <c r="B445" s="118"/>
      <c r="C445" s="65"/>
      <c r="D445" s="123"/>
      <c r="E445" s="65"/>
      <c r="F445" s="123"/>
      <c r="G445" s="65"/>
      <c r="H445" s="123"/>
      <c r="I445" s="65"/>
      <c r="J445" s="123"/>
      <c r="K445" s="65"/>
      <c r="L445" s="123"/>
    </row>
    <row r="446" spans="1:12" ht="25.5" customHeight="1" x14ac:dyDescent="0.3">
      <c r="A446" s="115">
        <v>3</v>
      </c>
      <c r="B446" s="118" t="s">
        <v>25</v>
      </c>
      <c r="C446" s="65"/>
      <c r="D446" s="122"/>
      <c r="E446" s="65"/>
      <c r="F446" s="122"/>
      <c r="G446" s="65"/>
      <c r="H446" s="122"/>
      <c r="I446" s="65"/>
      <c r="J446" s="122"/>
      <c r="K446" s="65"/>
      <c r="L446" s="122"/>
    </row>
    <row r="447" spans="1:12" ht="80.099999999999994" customHeight="1" x14ac:dyDescent="0.3">
      <c r="A447" s="115"/>
      <c r="B447" s="118"/>
      <c r="C447" s="65"/>
      <c r="D447" s="123"/>
      <c r="E447" s="65"/>
      <c r="F447" s="123"/>
      <c r="G447" s="65"/>
      <c r="H447" s="123"/>
      <c r="I447" s="65"/>
      <c r="J447" s="123"/>
      <c r="K447" s="65"/>
      <c r="L447" s="123"/>
    </row>
    <row r="448" spans="1:12" ht="25.5" customHeight="1" x14ac:dyDescent="0.3">
      <c r="A448" s="115">
        <v>4</v>
      </c>
      <c r="B448" s="118" t="s">
        <v>26</v>
      </c>
      <c r="C448" s="63"/>
      <c r="D448" s="121"/>
      <c r="E448" s="63"/>
      <c r="F448" s="121"/>
      <c r="G448" s="63"/>
      <c r="H448" s="121"/>
      <c r="I448" s="63"/>
      <c r="J448" s="121"/>
      <c r="K448" s="63"/>
      <c r="L448" s="121"/>
    </row>
    <row r="449" spans="1:12" ht="80.099999999999994" customHeight="1" x14ac:dyDescent="0.3">
      <c r="A449" s="115"/>
      <c r="B449" s="118"/>
      <c r="C449" s="66"/>
      <c r="D449" s="121"/>
      <c r="E449" s="66"/>
      <c r="F449" s="121"/>
      <c r="G449" s="66"/>
      <c r="H449" s="121"/>
      <c r="I449" s="66"/>
      <c r="J449" s="121"/>
      <c r="K449" s="66"/>
      <c r="L449" s="121"/>
    </row>
    <row r="450" spans="1:12" ht="25.5" customHeight="1" x14ac:dyDescent="0.3">
      <c r="A450" s="109">
        <v>5</v>
      </c>
      <c r="B450" s="111" t="s">
        <v>27</v>
      </c>
      <c r="C450" s="68"/>
      <c r="D450" s="116"/>
      <c r="E450" s="68"/>
      <c r="F450" s="116"/>
      <c r="G450" s="68"/>
      <c r="H450" s="116"/>
      <c r="I450" s="68"/>
      <c r="J450" s="116"/>
      <c r="K450" s="68"/>
      <c r="L450" s="116"/>
    </row>
    <row r="451" spans="1:12" ht="80.099999999999994" customHeight="1" x14ac:dyDescent="0.3">
      <c r="A451" s="110"/>
      <c r="B451" s="111"/>
      <c r="C451" s="67"/>
      <c r="D451" s="117"/>
      <c r="E451" s="67"/>
      <c r="F451" s="117"/>
      <c r="G451" s="67"/>
      <c r="H451" s="117"/>
      <c r="I451" s="67"/>
      <c r="J451" s="117"/>
      <c r="K451" s="67"/>
      <c r="L451" s="117"/>
    </row>
    <row r="452" spans="1:12" ht="25.5" customHeight="1" x14ac:dyDescent="0.3">
      <c r="A452" s="109">
        <v>6</v>
      </c>
      <c r="B452" s="111" t="s">
        <v>28</v>
      </c>
      <c r="C452" s="68"/>
      <c r="D452" s="116"/>
      <c r="E452" s="68"/>
      <c r="F452" s="116"/>
      <c r="G452" s="68"/>
      <c r="H452" s="116"/>
      <c r="I452" s="68"/>
      <c r="J452" s="116"/>
      <c r="K452" s="68"/>
      <c r="L452" s="116"/>
    </row>
    <row r="453" spans="1:12" ht="80.099999999999994" customHeight="1" x14ac:dyDescent="0.3">
      <c r="A453" s="110"/>
      <c r="B453" s="111"/>
      <c r="C453" s="67"/>
      <c r="D453" s="117"/>
      <c r="E453" s="67"/>
      <c r="F453" s="117"/>
      <c r="G453" s="67"/>
      <c r="H453" s="117"/>
      <c r="I453" s="67"/>
      <c r="J453" s="117"/>
      <c r="K453" s="67"/>
      <c r="L453" s="117"/>
    </row>
    <row r="454" spans="1:12" ht="25.5" customHeight="1" x14ac:dyDescent="0.3">
      <c r="A454" s="109">
        <v>7</v>
      </c>
      <c r="B454" s="111" t="s">
        <v>29</v>
      </c>
      <c r="C454" s="67"/>
      <c r="D454" s="116"/>
      <c r="E454" s="67"/>
      <c r="F454" s="116"/>
      <c r="G454" s="67"/>
      <c r="H454" s="116"/>
      <c r="I454" s="67"/>
      <c r="J454" s="116"/>
      <c r="K454" s="67"/>
      <c r="L454" s="116"/>
    </row>
    <row r="455" spans="1:12" ht="80.099999999999994" customHeight="1" x14ac:dyDescent="0.3">
      <c r="A455" s="110"/>
      <c r="B455" s="111"/>
      <c r="C455" s="67"/>
      <c r="D455" s="117"/>
      <c r="E455" s="67"/>
      <c r="F455" s="117"/>
      <c r="G455" s="67"/>
      <c r="H455" s="117"/>
      <c r="I455" s="67"/>
      <c r="J455" s="117"/>
      <c r="K455" s="67"/>
      <c r="L455" s="117"/>
    </row>
    <row r="456" spans="1:12" ht="25.5" customHeight="1" x14ac:dyDescent="0.3">
      <c r="A456" s="109">
        <v>8</v>
      </c>
      <c r="B456" s="111" t="s">
        <v>40</v>
      </c>
      <c r="C456" s="67"/>
      <c r="D456" s="116"/>
      <c r="E456" s="67"/>
      <c r="F456" s="116"/>
      <c r="G456" s="67"/>
      <c r="H456" s="116"/>
      <c r="I456" s="67"/>
      <c r="J456" s="116"/>
      <c r="K456" s="67"/>
      <c r="L456" s="116"/>
    </row>
    <row r="457" spans="1:12" ht="80.099999999999994" customHeight="1" x14ac:dyDescent="0.3">
      <c r="A457" s="110"/>
      <c r="B457" s="111"/>
      <c r="C457" s="67"/>
      <c r="D457" s="117"/>
      <c r="E457" s="67"/>
      <c r="F457" s="117"/>
      <c r="G457" s="67"/>
      <c r="H457" s="117"/>
      <c r="I457" s="67"/>
      <c r="J457" s="117"/>
      <c r="K457" s="67"/>
      <c r="L457" s="117"/>
    </row>
    <row r="458" spans="1:12" ht="27" customHeight="1" x14ac:dyDescent="0.3">
      <c r="A458" s="126" t="s">
        <v>12</v>
      </c>
      <c r="B458" s="126" t="s">
        <v>13</v>
      </c>
      <c r="C458" s="124" t="s">
        <v>14</v>
      </c>
      <c r="D458" s="124"/>
      <c r="E458" s="124" t="s">
        <v>15</v>
      </c>
      <c r="F458" s="124"/>
      <c r="G458" s="124" t="s">
        <v>16</v>
      </c>
      <c r="H458" s="124"/>
      <c r="I458" s="124" t="s">
        <v>17</v>
      </c>
      <c r="J458" s="124"/>
      <c r="K458" s="124" t="s">
        <v>18</v>
      </c>
      <c r="L458" s="124"/>
    </row>
    <row r="459" spans="1:12" ht="27" customHeight="1" thickBot="1" x14ac:dyDescent="0.35">
      <c r="A459" s="127"/>
      <c r="B459" s="127"/>
      <c r="C459" s="125">
        <f>K441+3</f>
        <v>46090</v>
      </c>
      <c r="D459" s="125"/>
      <c r="E459" s="125">
        <f>C459+1</f>
        <v>46091</v>
      </c>
      <c r="F459" s="125"/>
      <c r="G459" s="125">
        <f>E459+1</f>
        <v>46092</v>
      </c>
      <c r="H459" s="125"/>
      <c r="I459" s="125">
        <f>G459+1</f>
        <v>46093</v>
      </c>
      <c r="J459" s="125"/>
      <c r="K459" s="125">
        <f>I459+1</f>
        <v>46094</v>
      </c>
      <c r="L459" s="125"/>
    </row>
    <row r="460" spans="1:12" ht="25.5" customHeight="1" thickTop="1" x14ac:dyDescent="0.3">
      <c r="A460" s="109">
        <v>1</v>
      </c>
      <c r="B460" s="119" t="s">
        <v>23</v>
      </c>
      <c r="C460" s="72"/>
      <c r="D460" s="114"/>
      <c r="E460" s="73"/>
      <c r="F460" s="112"/>
      <c r="G460" s="73"/>
      <c r="H460" s="112"/>
      <c r="I460" s="59"/>
      <c r="J460" s="108"/>
      <c r="K460" s="59"/>
      <c r="L460" s="108"/>
    </row>
    <row r="461" spans="1:12" ht="80.099999999999994" customHeight="1" x14ac:dyDescent="0.3">
      <c r="A461" s="110"/>
      <c r="B461" s="120"/>
      <c r="C461" s="74"/>
      <c r="D461" s="114"/>
      <c r="E461" s="71"/>
      <c r="F461" s="113"/>
      <c r="G461" s="71"/>
      <c r="H461" s="113"/>
      <c r="I461" s="75"/>
      <c r="J461" s="108"/>
      <c r="K461" s="75"/>
      <c r="L461" s="108"/>
    </row>
    <row r="462" spans="1:12" ht="25.5" customHeight="1" x14ac:dyDescent="0.3">
      <c r="A462" s="115">
        <v>2</v>
      </c>
      <c r="B462" s="118" t="s">
        <v>24</v>
      </c>
      <c r="C462" s="72"/>
      <c r="D462" s="114"/>
      <c r="E462" s="73"/>
      <c r="F462" s="112"/>
      <c r="G462" s="73"/>
      <c r="H462" s="112"/>
      <c r="I462" s="59"/>
      <c r="J462" s="108"/>
      <c r="K462" s="59"/>
      <c r="L462" s="108"/>
    </row>
    <row r="463" spans="1:12" ht="80.099999999999994" customHeight="1" x14ac:dyDescent="0.3">
      <c r="A463" s="115"/>
      <c r="B463" s="118"/>
      <c r="C463" s="74"/>
      <c r="D463" s="114"/>
      <c r="E463" s="71"/>
      <c r="F463" s="113"/>
      <c r="G463" s="71"/>
      <c r="H463" s="113"/>
      <c r="I463" s="75"/>
      <c r="J463" s="108"/>
      <c r="K463" s="75"/>
      <c r="L463" s="108"/>
    </row>
    <row r="464" spans="1:12" ht="25.5" customHeight="1" x14ac:dyDescent="0.3">
      <c r="A464" s="115">
        <v>3</v>
      </c>
      <c r="B464" s="118" t="s">
        <v>25</v>
      </c>
      <c r="C464" s="72"/>
      <c r="D464" s="114"/>
      <c r="E464" s="73"/>
      <c r="F464" s="112"/>
      <c r="G464" s="73"/>
      <c r="H464" s="112"/>
      <c r="I464" s="59"/>
      <c r="J464" s="108"/>
      <c r="K464" s="59"/>
      <c r="L464" s="108"/>
    </row>
    <row r="465" spans="1:12" ht="80.099999999999994" customHeight="1" x14ac:dyDescent="0.3">
      <c r="A465" s="115"/>
      <c r="B465" s="118"/>
      <c r="C465" s="74"/>
      <c r="D465" s="114"/>
      <c r="E465" s="71"/>
      <c r="F465" s="113"/>
      <c r="G465" s="71"/>
      <c r="H465" s="113"/>
      <c r="I465" s="75"/>
      <c r="J465" s="108"/>
      <c r="K465" s="75"/>
      <c r="L465" s="108"/>
    </row>
    <row r="466" spans="1:12" ht="25.5" customHeight="1" x14ac:dyDescent="0.3">
      <c r="A466" s="115">
        <v>4</v>
      </c>
      <c r="B466" s="118" t="s">
        <v>26</v>
      </c>
      <c r="C466" s="72"/>
      <c r="D466" s="114"/>
      <c r="E466" s="73"/>
      <c r="F466" s="112"/>
      <c r="G466" s="73"/>
      <c r="H466" s="112"/>
      <c r="I466" s="59"/>
      <c r="J466" s="108"/>
      <c r="K466" s="59"/>
      <c r="L466" s="108"/>
    </row>
    <row r="467" spans="1:12" ht="80.099999999999994" customHeight="1" x14ac:dyDescent="0.3">
      <c r="A467" s="115"/>
      <c r="B467" s="118"/>
      <c r="C467" s="74"/>
      <c r="D467" s="114"/>
      <c r="E467" s="71"/>
      <c r="F467" s="113"/>
      <c r="G467" s="71"/>
      <c r="H467" s="113"/>
      <c r="I467" s="75"/>
      <c r="J467" s="108"/>
      <c r="K467" s="75"/>
      <c r="L467" s="108"/>
    </row>
    <row r="468" spans="1:12" ht="25.5" customHeight="1" x14ac:dyDescent="0.3">
      <c r="A468" s="109">
        <v>5</v>
      </c>
      <c r="B468" s="111" t="s">
        <v>27</v>
      </c>
      <c r="C468" s="72"/>
      <c r="D468" s="114"/>
      <c r="E468" s="73"/>
      <c r="F468" s="112"/>
      <c r="G468" s="76"/>
      <c r="H468" s="108"/>
      <c r="I468" s="76"/>
      <c r="J468" s="108"/>
      <c r="K468" s="76"/>
      <c r="L468" s="108"/>
    </row>
    <row r="469" spans="1:12" ht="80.099999999999994" customHeight="1" x14ac:dyDescent="0.3">
      <c r="A469" s="110"/>
      <c r="B469" s="111"/>
      <c r="C469" s="74"/>
      <c r="D469" s="114"/>
      <c r="E469" s="71"/>
      <c r="F469" s="113"/>
      <c r="G469" s="77"/>
      <c r="H469" s="108"/>
      <c r="I469" s="77"/>
      <c r="J469" s="108"/>
      <c r="K469" s="77"/>
      <c r="L469" s="108"/>
    </row>
    <row r="470" spans="1:12" ht="25.5" customHeight="1" x14ac:dyDescent="0.3">
      <c r="A470" s="109">
        <v>6</v>
      </c>
      <c r="B470" s="111" t="s">
        <v>28</v>
      </c>
      <c r="C470" s="72"/>
      <c r="D470" s="114"/>
      <c r="E470" s="73"/>
      <c r="F470" s="112"/>
      <c r="G470" s="76"/>
      <c r="H470" s="108"/>
      <c r="I470" s="76"/>
      <c r="J470" s="108"/>
      <c r="K470" s="76"/>
      <c r="L470" s="108"/>
    </row>
    <row r="471" spans="1:12" ht="80.099999999999994" customHeight="1" x14ac:dyDescent="0.3">
      <c r="A471" s="110"/>
      <c r="B471" s="111"/>
      <c r="C471" s="74"/>
      <c r="D471" s="114"/>
      <c r="E471" s="71"/>
      <c r="F471" s="113"/>
      <c r="G471" s="77"/>
      <c r="H471" s="108"/>
      <c r="I471" s="77"/>
      <c r="J471" s="108"/>
      <c r="K471" s="77"/>
      <c r="L471" s="108"/>
    </row>
    <row r="472" spans="1:12" ht="25.5" customHeight="1" x14ac:dyDescent="0.3">
      <c r="A472" s="109">
        <v>7</v>
      </c>
      <c r="B472" s="111" t="s">
        <v>29</v>
      </c>
      <c r="C472" s="72"/>
      <c r="D472" s="114"/>
      <c r="E472" s="73"/>
      <c r="F472" s="112"/>
      <c r="G472" s="76"/>
      <c r="H472" s="108"/>
      <c r="I472" s="76"/>
      <c r="J472" s="108"/>
      <c r="K472" s="76"/>
      <c r="L472" s="108"/>
    </row>
    <row r="473" spans="1:12" ht="80.099999999999994" customHeight="1" x14ac:dyDescent="0.3">
      <c r="A473" s="110"/>
      <c r="B473" s="111"/>
      <c r="C473" s="74"/>
      <c r="D473" s="114"/>
      <c r="E473" s="71"/>
      <c r="F473" s="113"/>
      <c r="G473" s="77"/>
      <c r="H473" s="108"/>
      <c r="I473" s="77"/>
      <c r="J473" s="108"/>
      <c r="K473" s="77"/>
      <c r="L473" s="108"/>
    </row>
    <row r="474" spans="1:12" ht="25.5" customHeight="1" x14ac:dyDescent="0.3">
      <c r="A474" s="109">
        <v>8</v>
      </c>
      <c r="B474" s="111" t="s">
        <v>40</v>
      </c>
      <c r="C474" s="77"/>
      <c r="D474" s="108"/>
      <c r="E474" s="73"/>
      <c r="F474" s="112"/>
      <c r="G474" s="77"/>
      <c r="H474" s="108"/>
      <c r="I474" s="77"/>
      <c r="J474" s="108"/>
      <c r="K474" s="77"/>
      <c r="L474" s="108"/>
    </row>
    <row r="475" spans="1:12" ht="80.099999999999994" customHeight="1" x14ac:dyDescent="0.3">
      <c r="A475" s="110"/>
      <c r="B475" s="111"/>
      <c r="C475" s="78"/>
      <c r="D475" s="108"/>
      <c r="E475" s="71"/>
      <c r="F475" s="113"/>
      <c r="G475" s="78"/>
      <c r="H475" s="108"/>
      <c r="I475" s="78"/>
      <c r="J475" s="108"/>
      <c r="K475" s="78"/>
      <c r="L475" s="108"/>
    </row>
  </sheetData>
  <mergeCells count="1778">
    <mergeCell ref="A7:C7"/>
    <mergeCell ref="K7:L7"/>
    <mergeCell ref="A8:A9"/>
    <mergeCell ref="B8:B9"/>
    <mergeCell ref="C8:D8"/>
    <mergeCell ref="E8:F8"/>
    <mergeCell ref="G8:H8"/>
    <mergeCell ref="I8:J8"/>
    <mergeCell ref="K8:L8"/>
    <mergeCell ref="C9:D9"/>
    <mergeCell ref="A1:G2"/>
    <mergeCell ref="I1:I2"/>
    <mergeCell ref="J1:L2"/>
    <mergeCell ref="A3:G6"/>
    <mergeCell ref="J3:L3"/>
    <mergeCell ref="J4:L4"/>
    <mergeCell ref="J5:L5"/>
    <mergeCell ref="J6:L6"/>
    <mergeCell ref="L10:L11"/>
    <mergeCell ref="A12:A13"/>
    <mergeCell ref="B12:B13"/>
    <mergeCell ref="D12:D13"/>
    <mergeCell ref="F12:F13"/>
    <mergeCell ref="H12:H13"/>
    <mergeCell ref="J12:J13"/>
    <mergeCell ref="L12:L13"/>
    <mergeCell ref="E9:F9"/>
    <mergeCell ref="G9:H9"/>
    <mergeCell ref="I9:J9"/>
    <mergeCell ref="K9:L9"/>
    <mergeCell ref="A10:A11"/>
    <mergeCell ref="B10:B11"/>
    <mergeCell ref="D10:D11"/>
    <mergeCell ref="F10:F11"/>
    <mergeCell ref="H10:H11"/>
    <mergeCell ref="J10:J11"/>
    <mergeCell ref="L18:L19"/>
    <mergeCell ref="A20:A21"/>
    <mergeCell ref="B20:B21"/>
    <mergeCell ref="D20:D21"/>
    <mergeCell ref="F20:F21"/>
    <mergeCell ref="H20:H21"/>
    <mergeCell ref="J20:J21"/>
    <mergeCell ref="L20:L21"/>
    <mergeCell ref="A18:A19"/>
    <mergeCell ref="B18:B19"/>
    <mergeCell ref="D18:D19"/>
    <mergeCell ref="F18:F19"/>
    <mergeCell ref="H18:H19"/>
    <mergeCell ref="J18:J19"/>
    <mergeCell ref="L14:L15"/>
    <mergeCell ref="A16:A17"/>
    <mergeCell ref="B16:B17"/>
    <mergeCell ref="D16:D17"/>
    <mergeCell ref="F16:F17"/>
    <mergeCell ref="H16:H17"/>
    <mergeCell ref="J16:J17"/>
    <mergeCell ref="L16:L17"/>
    <mergeCell ref="A14:A15"/>
    <mergeCell ref="B14:B15"/>
    <mergeCell ref="D14:D15"/>
    <mergeCell ref="F14:F15"/>
    <mergeCell ref="H14:H15"/>
    <mergeCell ref="J14:J15"/>
    <mergeCell ref="K26:L26"/>
    <mergeCell ref="C27:D27"/>
    <mergeCell ref="E27:F27"/>
    <mergeCell ref="G27:H27"/>
    <mergeCell ref="I27:J27"/>
    <mergeCell ref="K27:L27"/>
    <mergeCell ref="A26:A27"/>
    <mergeCell ref="B26:B27"/>
    <mergeCell ref="C26:D26"/>
    <mergeCell ref="E26:F26"/>
    <mergeCell ref="G26:H26"/>
    <mergeCell ref="I26:J26"/>
    <mergeCell ref="L22:L23"/>
    <mergeCell ref="A24:A25"/>
    <mergeCell ref="B24:B25"/>
    <mergeCell ref="D24:D25"/>
    <mergeCell ref="F24:F25"/>
    <mergeCell ref="H24:H25"/>
    <mergeCell ref="J24:J25"/>
    <mergeCell ref="L24:L25"/>
    <mergeCell ref="A22:A23"/>
    <mergeCell ref="B22:B23"/>
    <mergeCell ref="D22:D23"/>
    <mergeCell ref="F22:F23"/>
    <mergeCell ref="H22:H23"/>
    <mergeCell ref="J22:J23"/>
    <mergeCell ref="L32:L33"/>
    <mergeCell ref="A34:A35"/>
    <mergeCell ref="B34:B35"/>
    <mergeCell ref="D34:D35"/>
    <mergeCell ref="F34:F35"/>
    <mergeCell ref="H34:H35"/>
    <mergeCell ref="J34:J35"/>
    <mergeCell ref="L34:L35"/>
    <mergeCell ref="A32:A33"/>
    <mergeCell ref="B32:B33"/>
    <mergeCell ref="D32:D33"/>
    <mergeCell ref="F32:F33"/>
    <mergeCell ref="H32:H33"/>
    <mergeCell ref="J32:J33"/>
    <mergeCell ref="L28:L29"/>
    <mergeCell ref="A30:A31"/>
    <mergeCell ref="B30:B31"/>
    <mergeCell ref="D30:D31"/>
    <mergeCell ref="F30:F31"/>
    <mergeCell ref="H30:H31"/>
    <mergeCell ref="J30:J31"/>
    <mergeCell ref="L30:L31"/>
    <mergeCell ref="A28:A29"/>
    <mergeCell ref="B28:B29"/>
    <mergeCell ref="D28:D29"/>
    <mergeCell ref="F28:F29"/>
    <mergeCell ref="H28:H29"/>
    <mergeCell ref="J28:J29"/>
    <mergeCell ref="L40:L41"/>
    <mergeCell ref="A42:A43"/>
    <mergeCell ref="B42:B43"/>
    <mergeCell ref="D42:D43"/>
    <mergeCell ref="F42:F43"/>
    <mergeCell ref="H42:H43"/>
    <mergeCell ref="J42:J43"/>
    <mergeCell ref="L42:L43"/>
    <mergeCell ref="A40:A41"/>
    <mergeCell ref="B40:B41"/>
    <mergeCell ref="D40:D41"/>
    <mergeCell ref="F40:F41"/>
    <mergeCell ref="H40:H41"/>
    <mergeCell ref="J40:J41"/>
    <mergeCell ref="L36:L37"/>
    <mergeCell ref="A38:A39"/>
    <mergeCell ref="B38:B39"/>
    <mergeCell ref="D38:D39"/>
    <mergeCell ref="F38:F39"/>
    <mergeCell ref="H38:H39"/>
    <mergeCell ref="J38:J39"/>
    <mergeCell ref="L38:L39"/>
    <mergeCell ref="A36:A37"/>
    <mergeCell ref="B36:B37"/>
    <mergeCell ref="D36:D37"/>
    <mergeCell ref="F36:F37"/>
    <mergeCell ref="H36:H37"/>
    <mergeCell ref="J36:J37"/>
    <mergeCell ref="L46:L47"/>
    <mergeCell ref="A48:A49"/>
    <mergeCell ref="B48:B49"/>
    <mergeCell ref="D48:D49"/>
    <mergeCell ref="F48:F49"/>
    <mergeCell ref="H48:H49"/>
    <mergeCell ref="J48:J49"/>
    <mergeCell ref="L48:L49"/>
    <mergeCell ref="A46:A47"/>
    <mergeCell ref="B46:B47"/>
    <mergeCell ref="D46:D47"/>
    <mergeCell ref="F46:F47"/>
    <mergeCell ref="H46:H47"/>
    <mergeCell ref="J46:J47"/>
    <mergeCell ref="K44:L44"/>
    <mergeCell ref="C45:D45"/>
    <mergeCell ref="E45:F45"/>
    <mergeCell ref="G45:H45"/>
    <mergeCell ref="I45:J45"/>
    <mergeCell ref="K45:L45"/>
    <mergeCell ref="A44:A45"/>
    <mergeCell ref="B44:B45"/>
    <mergeCell ref="C44:D44"/>
    <mergeCell ref="E44:F44"/>
    <mergeCell ref="G44:H44"/>
    <mergeCell ref="I44:J44"/>
    <mergeCell ref="L54:L55"/>
    <mergeCell ref="A56:A57"/>
    <mergeCell ref="B56:B57"/>
    <mergeCell ref="D56:D57"/>
    <mergeCell ref="F56:F57"/>
    <mergeCell ref="H56:H57"/>
    <mergeCell ref="J56:J57"/>
    <mergeCell ref="L56:L57"/>
    <mergeCell ref="A54:A55"/>
    <mergeCell ref="B54:B55"/>
    <mergeCell ref="D54:D55"/>
    <mergeCell ref="F54:F55"/>
    <mergeCell ref="H54:H55"/>
    <mergeCell ref="J54:J55"/>
    <mergeCell ref="L50:L51"/>
    <mergeCell ref="A52:A53"/>
    <mergeCell ref="B52:B53"/>
    <mergeCell ref="D52:D53"/>
    <mergeCell ref="F52:F53"/>
    <mergeCell ref="H52:H53"/>
    <mergeCell ref="J52:J53"/>
    <mergeCell ref="L52:L53"/>
    <mergeCell ref="A50:A51"/>
    <mergeCell ref="B50:B51"/>
    <mergeCell ref="D50:D51"/>
    <mergeCell ref="F50:F51"/>
    <mergeCell ref="H50:H51"/>
    <mergeCell ref="J50:J51"/>
    <mergeCell ref="K62:L62"/>
    <mergeCell ref="C63:D63"/>
    <mergeCell ref="E63:F63"/>
    <mergeCell ref="G63:H63"/>
    <mergeCell ref="I63:J63"/>
    <mergeCell ref="K63:L63"/>
    <mergeCell ref="A62:A63"/>
    <mergeCell ref="B62:B63"/>
    <mergeCell ref="C62:D62"/>
    <mergeCell ref="E62:F62"/>
    <mergeCell ref="G62:H62"/>
    <mergeCell ref="I62:J62"/>
    <mergeCell ref="L58:L59"/>
    <mergeCell ref="A60:A61"/>
    <mergeCell ref="B60:B61"/>
    <mergeCell ref="D60:D61"/>
    <mergeCell ref="F60:F61"/>
    <mergeCell ref="H60:H61"/>
    <mergeCell ref="J60:J61"/>
    <mergeCell ref="L60:L61"/>
    <mergeCell ref="A58:A59"/>
    <mergeCell ref="B58:B59"/>
    <mergeCell ref="D58:D59"/>
    <mergeCell ref="F58:F59"/>
    <mergeCell ref="H58:H59"/>
    <mergeCell ref="J58:J59"/>
    <mergeCell ref="L68:L69"/>
    <mergeCell ref="A70:A71"/>
    <mergeCell ref="B70:B71"/>
    <mergeCell ref="D70:D71"/>
    <mergeCell ref="F70:F71"/>
    <mergeCell ref="H70:H71"/>
    <mergeCell ref="J70:J71"/>
    <mergeCell ref="L70:L71"/>
    <mergeCell ref="A68:A69"/>
    <mergeCell ref="B68:B69"/>
    <mergeCell ref="D68:D69"/>
    <mergeCell ref="F68:F69"/>
    <mergeCell ref="H68:H69"/>
    <mergeCell ref="J68:J69"/>
    <mergeCell ref="L64:L65"/>
    <mergeCell ref="A66:A67"/>
    <mergeCell ref="B66:B67"/>
    <mergeCell ref="D66:D67"/>
    <mergeCell ref="F66:F67"/>
    <mergeCell ref="H66:H67"/>
    <mergeCell ref="J66:J67"/>
    <mergeCell ref="L66:L67"/>
    <mergeCell ref="A64:A65"/>
    <mergeCell ref="B64:B65"/>
    <mergeCell ref="D64:D65"/>
    <mergeCell ref="F64:F65"/>
    <mergeCell ref="H64:H65"/>
    <mergeCell ref="J64:J65"/>
    <mergeCell ref="L76:L77"/>
    <mergeCell ref="A78:A79"/>
    <mergeCell ref="B78:B79"/>
    <mergeCell ref="D78:D79"/>
    <mergeCell ref="F78:F79"/>
    <mergeCell ref="H78:H79"/>
    <mergeCell ref="J78:J79"/>
    <mergeCell ref="L78:L79"/>
    <mergeCell ref="A76:A77"/>
    <mergeCell ref="B76:B77"/>
    <mergeCell ref="D76:D77"/>
    <mergeCell ref="F76:F77"/>
    <mergeCell ref="H76:H77"/>
    <mergeCell ref="J76:J77"/>
    <mergeCell ref="L72:L73"/>
    <mergeCell ref="A74:A75"/>
    <mergeCell ref="B74:B75"/>
    <mergeCell ref="D74:D75"/>
    <mergeCell ref="F74:F75"/>
    <mergeCell ref="H74:H75"/>
    <mergeCell ref="J74:J75"/>
    <mergeCell ref="L74:L75"/>
    <mergeCell ref="A72:A73"/>
    <mergeCell ref="B72:B73"/>
    <mergeCell ref="D72:D73"/>
    <mergeCell ref="F72:F73"/>
    <mergeCell ref="H72:H73"/>
    <mergeCell ref="J72:J73"/>
    <mergeCell ref="K80:L80"/>
    <mergeCell ref="C81:D81"/>
    <mergeCell ref="E81:F81"/>
    <mergeCell ref="G81:H81"/>
    <mergeCell ref="I81:J81"/>
    <mergeCell ref="K81:L81"/>
    <mergeCell ref="A80:A81"/>
    <mergeCell ref="B80:B81"/>
    <mergeCell ref="C80:D80"/>
    <mergeCell ref="E80:F80"/>
    <mergeCell ref="G80:H80"/>
    <mergeCell ref="I80:J80"/>
    <mergeCell ref="F82:F83"/>
    <mergeCell ref="F84:F85"/>
    <mergeCell ref="F86:F87"/>
    <mergeCell ref="F88:F89"/>
    <mergeCell ref="F90:F91"/>
    <mergeCell ref="A88:A89"/>
    <mergeCell ref="B88:B89"/>
    <mergeCell ref="D88:D89"/>
    <mergeCell ref="H88:H89"/>
    <mergeCell ref="L88:L89"/>
    <mergeCell ref="J88:J89"/>
    <mergeCell ref="D100:D101"/>
    <mergeCell ref="A84:A85"/>
    <mergeCell ref="B84:B85"/>
    <mergeCell ref="D84:D85"/>
    <mergeCell ref="H84:H85"/>
    <mergeCell ref="L84:L85"/>
    <mergeCell ref="J84:J85"/>
    <mergeCell ref="D102:D103"/>
    <mergeCell ref="A82:A83"/>
    <mergeCell ref="B82:B83"/>
    <mergeCell ref="D82:D83"/>
    <mergeCell ref="H82:H83"/>
    <mergeCell ref="L82:L83"/>
    <mergeCell ref="J82:J83"/>
    <mergeCell ref="F92:F93"/>
    <mergeCell ref="A86:A87"/>
    <mergeCell ref="B86:B87"/>
    <mergeCell ref="D86:D87"/>
    <mergeCell ref="H86:H87"/>
    <mergeCell ref="L86:L87"/>
    <mergeCell ref="J86:J87"/>
    <mergeCell ref="F94:F95"/>
    <mergeCell ref="F96:F97"/>
    <mergeCell ref="K98:L98"/>
    <mergeCell ref="C99:D99"/>
    <mergeCell ref="E99:F99"/>
    <mergeCell ref="G99:H99"/>
    <mergeCell ref="I99:J99"/>
    <mergeCell ref="K99:L99"/>
    <mergeCell ref="A98:A99"/>
    <mergeCell ref="B98:B99"/>
    <mergeCell ref="J94:J95"/>
    <mergeCell ref="A122:A123"/>
    <mergeCell ref="B122:B123"/>
    <mergeCell ref="F122:F123"/>
    <mergeCell ref="H122:H123"/>
    <mergeCell ref="J122:J123"/>
    <mergeCell ref="L122:L123"/>
    <mergeCell ref="E98:F98"/>
    <mergeCell ref="G98:H98"/>
    <mergeCell ref="I98:J98"/>
    <mergeCell ref="A92:A93"/>
    <mergeCell ref="B92:B93"/>
    <mergeCell ref="D92:D93"/>
    <mergeCell ref="H92:H93"/>
    <mergeCell ref="L92:L93"/>
    <mergeCell ref="J92:J93"/>
    <mergeCell ref="A90:A91"/>
    <mergeCell ref="B90:B91"/>
    <mergeCell ref="D90:D91"/>
    <mergeCell ref="H90:H91"/>
    <mergeCell ref="L90:L91"/>
    <mergeCell ref="J90:J91"/>
    <mergeCell ref="A96:A97"/>
    <mergeCell ref="B96:B97"/>
    <mergeCell ref="D96:D97"/>
    <mergeCell ref="H96:H97"/>
    <mergeCell ref="L96:L97"/>
    <mergeCell ref="J96:J97"/>
    <mergeCell ref="A94:A95"/>
    <mergeCell ref="B94:B95"/>
    <mergeCell ref="D94:D95"/>
    <mergeCell ref="H94:H95"/>
    <mergeCell ref="L94:L95"/>
    <mergeCell ref="B106:B107"/>
    <mergeCell ref="F106:F107"/>
    <mergeCell ref="J106:J107"/>
    <mergeCell ref="H106:H107"/>
    <mergeCell ref="L106:L107"/>
    <mergeCell ref="D108:D109"/>
    <mergeCell ref="D110:D111"/>
    <mergeCell ref="D104:D105"/>
    <mergeCell ref="A104:A105"/>
    <mergeCell ref="B104:B105"/>
    <mergeCell ref="F104:F105"/>
    <mergeCell ref="J104:J105"/>
    <mergeCell ref="H104:H105"/>
    <mergeCell ref="L104:L105"/>
    <mergeCell ref="D118:D119"/>
    <mergeCell ref="H108:H109"/>
    <mergeCell ref="L108:L109"/>
    <mergeCell ref="D112:D113"/>
    <mergeCell ref="A114:A115"/>
    <mergeCell ref="B114:B115"/>
    <mergeCell ref="F114:F115"/>
    <mergeCell ref="J114:J115"/>
    <mergeCell ref="H114:H115"/>
    <mergeCell ref="L114:L115"/>
    <mergeCell ref="G116:H116"/>
    <mergeCell ref="I116:J116"/>
    <mergeCell ref="D106:D107"/>
    <mergeCell ref="A106:A107"/>
    <mergeCell ref="A102:A103"/>
    <mergeCell ref="B102:B103"/>
    <mergeCell ref="F102:F103"/>
    <mergeCell ref="J102:J103"/>
    <mergeCell ref="H102:H103"/>
    <mergeCell ref="L102:L103"/>
    <mergeCell ref="D120:D121"/>
    <mergeCell ref="A100:A101"/>
    <mergeCell ref="C98:D98"/>
    <mergeCell ref="A110:A111"/>
    <mergeCell ref="B110:B111"/>
    <mergeCell ref="F110:F111"/>
    <mergeCell ref="J110:J111"/>
    <mergeCell ref="H110:H111"/>
    <mergeCell ref="L110:L111"/>
    <mergeCell ref="D128:D129"/>
    <mergeCell ref="D124:D125"/>
    <mergeCell ref="A120:A121"/>
    <mergeCell ref="B120:B121"/>
    <mergeCell ref="F120:F121"/>
    <mergeCell ref="H120:H121"/>
    <mergeCell ref="J120:J121"/>
    <mergeCell ref="L120:L121"/>
    <mergeCell ref="B100:B101"/>
    <mergeCell ref="F100:F101"/>
    <mergeCell ref="J100:J101"/>
    <mergeCell ref="H100:H101"/>
    <mergeCell ref="L100:L101"/>
    <mergeCell ref="A108:A109"/>
    <mergeCell ref="B108:B109"/>
    <mergeCell ref="F108:F109"/>
    <mergeCell ref="J108:J109"/>
    <mergeCell ref="A128:A129"/>
    <mergeCell ref="B128:B129"/>
    <mergeCell ref="F128:F129"/>
    <mergeCell ref="H128:H129"/>
    <mergeCell ref="J128:J129"/>
    <mergeCell ref="L128:L129"/>
    <mergeCell ref="D132:D133"/>
    <mergeCell ref="A112:A113"/>
    <mergeCell ref="B112:B113"/>
    <mergeCell ref="F112:F113"/>
    <mergeCell ref="J112:J113"/>
    <mergeCell ref="H112:H113"/>
    <mergeCell ref="L112:L113"/>
    <mergeCell ref="D126:D127"/>
    <mergeCell ref="D114:D115"/>
    <mergeCell ref="A118:A119"/>
    <mergeCell ref="B118:B119"/>
    <mergeCell ref="F118:F119"/>
    <mergeCell ref="H118:H119"/>
    <mergeCell ref="J118:J119"/>
    <mergeCell ref="L118:L119"/>
    <mergeCell ref="K116:L116"/>
    <mergeCell ref="C117:D117"/>
    <mergeCell ref="E117:F117"/>
    <mergeCell ref="G117:H117"/>
    <mergeCell ref="I117:J117"/>
    <mergeCell ref="K117:L117"/>
    <mergeCell ref="A116:A117"/>
    <mergeCell ref="B116:B117"/>
    <mergeCell ref="C116:D116"/>
    <mergeCell ref="E116:F116"/>
    <mergeCell ref="D122:D123"/>
    <mergeCell ref="A126:A127"/>
    <mergeCell ref="B126:B127"/>
    <mergeCell ref="F126:F127"/>
    <mergeCell ref="H126:H127"/>
    <mergeCell ref="J126:J127"/>
    <mergeCell ref="L126:L127"/>
    <mergeCell ref="D140:D141"/>
    <mergeCell ref="A124:A125"/>
    <mergeCell ref="B124:B125"/>
    <mergeCell ref="F124:F125"/>
    <mergeCell ref="H124:H125"/>
    <mergeCell ref="J124:J125"/>
    <mergeCell ref="L124:L125"/>
    <mergeCell ref="D142:D143"/>
    <mergeCell ref="K134:L134"/>
    <mergeCell ref="C135:D135"/>
    <mergeCell ref="E135:F135"/>
    <mergeCell ref="G135:H135"/>
    <mergeCell ref="I135:J135"/>
    <mergeCell ref="K135:L135"/>
    <mergeCell ref="A134:A135"/>
    <mergeCell ref="B134:B135"/>
    <mergeCell ref="C134:D134"/>
    <mergeCell ref="E134:F134"/>
    <mergeCell ref="D136:D137"/>
    <mergeCell ref="G134:H134"/>
    <mergeCell ref="I134:J134"/>
    <mergeCell ref="H138:H139"/>
    <mergeCell ref="J138:J139"/>
    <mergeCell ref="D130:D131"/>
    <mergeCell ref="D138:D139"/>
    <mergeCell ref="A132:A133"/>
    <mergeCell ref="B132:B133"/>
    <mergeCell ref="F132:F133"/>
    <mergeCell ref="H132:H133"/>
    <mergeCell ref="J132:J133"/>
    <mergeCell ref="L132:L133"/>
    <mergeCell ref="D150:D151"/>
    <mergeCell ref="A130:A131"/>
    <mergeCell ref="B130:B131"/>
    <mergeCell ref="F130:F131"/>
    <mergeCell ref="H130:H131"/>
    <mergeCell ref="J130:J131"/>
    <mergeCell ref="L130:L131"/>
    <mergeCell ref="D158:D159"/>
    <mergeCell ref="A142:A143"/>
    <mergeCell ref="B142:B143"/>
    <mergeCell ref="F142:F143"/>
    <mergeCell ref="H142:H143"/>
    <mergeCell ref="J142:J143"/>
    <mergeCell ref="D144:D145"/>
    <mergeCell ref="A140:A141"/>
    <mergeCell ref="B140:B141"/>
    <mergeCell ref="F140:F141"/>
    <mergeCell ref="H140:H141"/>
    <mergeCell ref="J140:J141"/>
    <mergeCell ref="D154:D155"/>
    <mergeCell ref="A138:A139"/>
    <mergeCell ref="B138:B139"/>
    <mergeCell ref="F138:F139"/>
    <mergeCell ref="L136:L137"/>
    <mergeCell ref="H154:H155"/>
    <mergeCell ref="L138:L139"/>
    <mergeCell ref="H156:H157"/>
    <mergeCell ref="A136:A137"/>
    <mergeCell ref="B136:B137"/>
    <mergeCell ref="F136:F137"/>
    <mergeCell ref="H136:H137"/>
    <mergeCell ref="J136:J137"/>
    <mergeCell ref="A144:A145"/>
    <mergeCell ref="B144:B145"/>
    <mergeCell ref="F144:F145"/>
    <mergeCell ref="H144:H145"/>
    <mergeCell ref="J144:J145"/>
    <mergeCell ref="A150:A151"/>
    <mergeCell ref="B150:B151"/>
    <mergeCell ref="L142:L143"/>
    <mergeCell ref="J154:J155"/>
    <mergeCell ref="K152:L152"/>
    <mergeCell ref="L140:L141"/>
    <mergeCell ref="I153:J153"/>
    <mergeCell ref="K153:L153"/>
    <mergeCell ref="A152:A153"/>
    <mergeCell ref="B152:B153"/>
    <mergeCell ref="C152:D152"/>
    <mergeCell ref="E152:F152"/>
    <mergeCell ref="G152:H152"/>
    <mergeCell ref="I152:J152"/>
    <mergeCell ref="E153:F153"/>
    <mergeCell ref="D166:D167"/>
    <mergeCell ref="A164:A165"/>
    <mergeCell ref="B164:B165"/>
    <mergeCell ref="F164:F165"/>
    <mergeCell ref="L146:L147"/>
    <mergeCell ref="H164:H165"/>
    <mergeCell ref="J164:J165"/>
    <mergeCell ref="D168:D169"/>
    <mergeCell ref="A148:A149"/>
    <mergeCell ref="B148:B149"/>
    <mergeCell ref="F148:F149"/>
    <mergeCell ref="H148:H149"/>
    <mergeCell ref="J148:J149"/>
    <mergeCell ref="D162:D163"/>
    <mergeCell ref="L148:L149"/>
    <mergeCell ref="H166:H167"/>
    <mergeCell ref="J166:J167"/>
    <mergeCell ref="C153:D153"/>
    <mergeCell ref="D146:D147"/>
    <mergeCell ref="A146:A147"/>
    <mergeCell ref="B146:B147"/>
    <mergeCell ref="F146:F147"/>
    <mergeCell ref="H146:H147"/>
    <mergeCell ref="J146:J147"/>
    <mergeCell ref="D164:D165"/>
    <mergeCell ref="D160:D161"/>
    <mergeCell ref="A156:A157"/>
    <mergeCell ref="B156:B157"/>
    <mergeCell ref="F156:F157"/>
    <mergeCell ref="G153:H153"/>
    <mergeCell ref="J160:J161"/>
    <mergeCell ref="A162:A163"/>
    <mergeCell ref="B162:B163"/>
    <mergeCell ref="F162:F163"/>
    <mergeCell ref="L144:L145"/>
    <mergeCell ref="H162:H163"/>
    <mergeCell ref="J162:J163"/>
    <mergeCell ref="L158:L159"/>
    <mergeCell ref="A160:A161"/>
    <mergeCell ref="B160:B161"/>
    <mergeCell ref="F160:F161"/>
    <mergeCell ref="J150:J151"/>
    <mergeCell ref="D148:D149"/>
    <mergeCell ref="A154:A155"/>
    <mergeCell ref="B154:B155"/>
    <mergeCell ref="F154:F155"/>
    <mergeCell ref="F150:F151"/>
    <mergeCell ref="H150:H151"/>
    <mergeCell ref="L160:L161"/>
    <mergeCell ref="L150:L151"/>
    <mergeCell ref="A158:A159"/>
    <mergeCell ref="B158:B159"/>
    <mergeCell ref="F158:F159"/>
    <mergeCell ref="H160:H161"/>
    <mergeCell ref="H158:H159"/>
    <mergeCell ref="J158:J159"/>
    <mergeCell ref="J156:J157"/>
    <mergeCell ref="D156:D157"/>
    <mergeCell ref="A182:A183"/>
    <mergeCell ref="B182:B183"/>
    <mergeCell ref="D182:D183"/>
    <mergeCell ref="F182:F183"/>
    <mergeCell ref="H182:H183"/>
    <mergeCell ref="J182:J183"/>
    <mergeCell ref="E188:F188"/>
    <mergeCell ref="G188:H188"/>
    <mergeCell ref="I188:J188"/>
    <mergeCell ref="G171:H171"/>
    <mergeCell ref="I171:J171"/>
    <mergeCell ref="K171:L171"/>
    <mergeCell ref="A170:A171"/>
    <mergeCell ref="B170:B171"/>
    <mergeCell ref="C170:D170"/>
    <mergeCell ref="E170:F170"/>
    <mergeCell ref="L154:L155"/>
    <mergeCell ref="G170:H170"/>
    <mergeCell ref="I170:J170"/>
    <mergeCell ref="F174:F175"/>
    <mergeCell ref="H174:H175"/>
    <mergeCell ref="J174:J175"/>
    <mergeCell ref="L156:L157"/>
    <mergeCell ref="A166:A167"/>
    <mergeCell ref="B166:B167"/>
    <mergeCell ref="F166:F167"/>
    <mergeCell ref="L182:L183"/>
    <mergeCell ref="L178:L179"/>
    <mergeCell ref="A168:A169"/>
    <mergeCell ref="B168:B169"/>
    <mergeCell ref="F168:F169"/>
    <mergeCell ref="H168:H169"/>
    <mergeCell ref="L168:L169"/>
    <mergeCell ref="L176:L177"/>
    <mergeCell ref="A178:A179"/>
    <mergeCell ref="B178:B179"/>
    <mergeCell ref="D178:D179"/>
    <mergeCell ref="F178:F179"/>
    <mergeCell ref="H178:H179"/>
    <mergeCell ref="J178:J179"/>
    <mergeCell ref="L162:L163"/>
    <mergeCell ref="A176:A177"/>
    <mergeCell ref="B176:B177"/>
    <mergeCell ref="D176:D177"/>
    <mergeCell ref="F176:F177"/>
    <mergeCell ref="H176:H177"/>
    <mergeCell ref="J176:J177"/>
    <mergeCell ref="L172:L173"/>
    <mergeCell ref="A174:A175"/>
    <mergeCell ref="B174:B175"/>
    <mergeCell ref="D174:D175"/>
    <mergeCell ref="L164:L165"/>
    <mergeCell ref="J168:J169"/>
    <mergeCell ref="K170:L170"/>
    <mergeCell ref="C171:D171"/>
    <mergeCell ref="E171:F171"/>
    <mergeCell ref="L166:L167"/>
    <mergeCell ref="L174:L175"/>
    <mergeCell ref="A172:A173"/>
    <mergeCell ref="B172:B173"/>
    <mergeCell ref="D172:D173"/>
    <mergeCell ref="F172:F173"/>
    <mergeCell ref="H172:H173"/>
    <mergeCell ref="J172:J173"/>
    <mergeCell ref="A190:A191"/>
    <mergeCell ref="B190:B191"/>
    <mergeCell ref="D190:D191"/>
    <mergeCell ref="F190:F191"/>
    <mergeCell ref="H190:H191"/>
    <mergeCell ref="J190:J191"/>
    <mergeCell ref="K188:L188"/>
    <mergeCell ref="C189:D189"/>
    <mergeCell ref="E189:F189"/>
    <mergeCell ref="G189:H189"/>
    <mergeCell ref="I189:J189"/>
    <mergeCell ref="K189:L189"/>
    <mergeCell ref="A188:A189"/>
    <mergeCell ref="B188:B189"/>
    <mergeCell ref="C188:D188"/>
    <mergeCell ref="A192:A193"/>
    <mergeCell ref="B192:B193"/>
    <mergeCell ref="D192:D193"/>
    <mergeCell ref="F192:F193"/>
    <mergeCell ref="H192:H193"/>
    <mergeCell ref="J192:J193"/>
    <mergeCell ref="L192:L193"/>
    <mergeCell ref="A180:A181"/>
    <mergeCell ref="B180:B181"/>
    <mergeCell ref="D180:D181"/>
    <mergeCell ref="A218:A219"/>
    <mergeCell ref="D204:D205"/>
    <mergeCell ref="A200:A201"/>
    <mergeCell ref="B200:B201"/>
    <mergeCell ref="D200:D201"/>
    <mergeCell ref="F200:F201"/>
    <mergeCell ref="H200:H201"/>
    <mergeCell ref="J200:J201"/>
    <mergeCell ref="L186:L187"/>
    <mergeCell ref="A184:A185"/>
    <mergeCell ref="B184:B185"/>
    <mergeCell ref="D184:D185"/>
    <mergeCell ref="F184:F185"/>
    <mergeCell ref="H184:H185"/>
    <mergeCell ref="J184:J185"/>
    <mergeCell ref="L180:L181"/>
    <mergeCell ref="J186:J187"/>
    <mergeCell ref="F180:F181"/>
    <mergeCell ref="H180:H181"/>
    <mergeCell ref="J180:J181"/>
    <mergeCell ref="A186:A187"/>
    <mergeCell ref="B186:B187"/>
    <mergeCell ref="D186:D187"/>
    <mergeCell ref="F186:F187"/>
    <mergeCell ref="H186:H187"/>
    <mergeCell ref="L184:L185"/>
    <mergeCell ref="L190:L191"/>
    <mergeCell ref="A194:A195"/>
    <mergeCell ref="B194:B195"/>
    <mergeCell ref="D194:D195"/>
    <mergeCell ref="F194:F195"/>
    <mergeCell ref="H194:H195"/>
    <mergeCell ref="L194:L195"/>
    <mergeCell ref="A196:A197"/>
    <mergeCell ref="B196:B197"/>
    <mergeCell ref="D196:D197"/>
    <mergeCell ref="F196:F197"/>
    <mergeCell ref="H196:H197"/>
    <mergeCell ref="J196:J197"/>
    <mergeCell ref="L196:L197"/>
    <mergeCell ref="K206:L206"/>
    <mergeCell ref="C207:D207"/>
    <mergeCell ref="E207:F207"/>
    <mergeCell ref="G207:H207"/>
    <mergeCell ref="I207:J207"/>
    <mergeCell ref="K207:L207"/>
    <mergeCell ref="A206:A207"/>
    <mergeCell ref="B206:B207"/>
    <mergeCell ref="C206:D206"/>
    <mergeCell ref="E206:F206"/>
    <mergeCell ref="G206:H206"/>
    <mergeCell ref="I206:J206"/>
    <mergeCell ref="L200:L201"/>
    <mergeCell ref="J194:J195"/>
    <mergeCell ref="L234:L235"/>
    <mergeCell ref="A232:A233"/>
    <mergeCell ref="B232:B233"/>
    <mergeCell ref="D232:D233"/>
    <mergeCell ref="H232:H233"/>
    <mergeCell ref="J232:J233"/>
    <mergeCell ref="L232:L233"/>
    <mergeCell ref="F204:F205"/>
    <mergeCell ref="H204:H205"/>
    <mergeCell ref="J204:J205"/>
    <mergeCell ref="L204:L205"/>
    <mergeCell ref="A202:A203"/>
    <mergeCell ref="B202:B203"/>
    <mergeCell ref="D202:D203"/>
    <mergeCell ref="F202:F203"/>
    <mergeCell ref="H202:H203"/>
    <mergeCell ref="J202:J203"/>
    <mergeCell ref="L212:L213"/>
    <mergeCell ref="A214:A215"/>
    <mergeCell ref="B214:B215"/>
    <mergeCell ref="D214:D215"/>
    <mergeCell ref="F214:F215"/>
    <mergeCell ref="H214:H215"/>
    <mergeCell ref="J214:J215"/>
    <mergeCell ref="A212:A213"/>
    <mergeCell ref="B212:B213"/>
    <mergeCell ref="D212:D213"/>
    <mergeCell ref="A228:A229"/>
    <mergeCell ref="B228:B229"/>
    <mergeCell ref="D228:D229"/>
    <mergeCell ref="H228:H229"/>
    <mergeCell ref="L228:L229"/>
    <mergeCell ref="L210:L211"/>
    <mergeCell ref="A230:A231"/>
    <mergeCell ref="B230:B231"/>
    <mergeCell ref="D230:D231"/>
    <mergeCell ref="H230:H231"/>
    <mergeCell ref="J230:J231"/>
    <mergeCell ref="L230:L231"/>
    <mergeCell ref="E224:F224"/>
    <mergeCell ref="G224:H224"/>
    <mergeCell ref="I224:J224"/>
    <mergeCell ref="L198:L199"/>
    <mergeCell ref="F212:F213"/>
    <mergeCell ref="H212:H213"/>
    <mergeCell ref="J212:J213"/>
    <mergeCell ref="L208:L209"/>
    <mergeCell ref="A210:A211"/>
    <mergeCell ref="B210:B211"/>
    <mergeCell ref="F210:F211"/>
    <mergeCell ref="H210:H211"/>
    <mergeCell ref="A204:A205"/>
    <mergeCell ref="B204:B205"/>
    <mergeCell ref="A208:A209"/>
    <mergeCell ref="B208:B209"/>
    <mergeCell ref="A198:A199"/>
    <mergeCell ref="B198:B199"/>
    <mergeCell ref="D198:D199"/>
    <mergeCell ref="F198:F199"/>
    <mergeCell ref="H198:H199"/>
    <mergeCell ref="J198:J199"/>
    <mergeCell ref="D208:D209"/>
    <mergeCell ref="F208:F209"/>
    <mergeCell ref="H208:H209"/>
    <mergeCell ref="J208:J209"/>
    <mergeCell ref="A216:A217"/>
    <mergeCell ref="B216:B217"/>
    <mergeCell ref="D216:D217"/>
    <mergeCell ref="F216:F217"/>
    <mergeCell ref="H216:H217"/>
    <mergeCell ref="J216:J217"/>
    <mergeCell ref="A222:A223"/>
    <mergeCell ref="B222:B223"/>
    <mergeCell ref="D222:D223"/>
    <mergeCell ref="F222:F223"/>
    <mergeCell ref="H222:H223"/>
    <mergeCell ref="D210:D211"/>
    <mergeCell ref="B236:B237"/>
    <mergeCell ref="D236:D237"/>
    <mergeCell ref="H236:H237"/>
    <mergeCell ref="J236:J237"/>
    <mergeCell ref="F234:F235"/>
    <mergeCell ref="F236:F237"/>
    <mergeCell ref="B218:B219"/>
    <mergeCell ref="D218:D219"/>
    <mergeCell ref="F218:F219"/>
    <mergeCell ref="H218:H219"/>
    <mergeCell ref="J218:J219"/>
    <mergeCell ref="J210:J211"/>
    <mergeCell ref="A234:A235"/>
    <mergeCell ref="B234:B235"/>
    <mergeCell ref="D234:D235"/>
    <mergeCell ref="H234:H235"/>
    <mergeCell ref="J228:J229"/>
    <mergeCell ref="J234:J235"/>
    <mergeCell ref="L236:L237"/>
    <mergeCell ref="L222:L223"/>
    <mergeCell ref="A220:A221"/>
    <mergeCell ref="B220:B221"/>
    <mergeCell ref="D220:D221"/>
    <mergeCell ref="F220:F221"/>
    <mergeCell ref="H220:H221"/>
    <mergeCell ref="J220:J221"/>
    <mergeCell ref="L216:L217"/>
    <mergeCell ref="J222:J223"/>
    <mergeCell ref="L202:L203"/>
    <mergeCell ref="A226:A227"/>
    <mergeCell ref="B226:B227"/>
    <mergeCell ref="D226:D227"/>
    <mergeCell ref="H226:H227"/>
    <mergeCell ref="J226:J227"/>
    <mergeCell ref="L226:L227"/>
    <mergeCell ref="K224:L224"/>
    <mergeCell ref="C225:D225"/>
    <mergeCell ref="E225:F225"/>
    <mergeCell ref="G225:H225"/>
    <mergeCell ref="I225:J225"/>
    <mergeCell ref="K225:L225"/>
    <mergeCell ref="A224:A225"/>
    <mergeCell ref="B224:B225"/>
    <mergeCell ref="C224:D224"/>
    <mergeCell ref="L218:L219"/>
    <mergeCell ref="L214:L215"/>
    <mergeCell ref="F226:F227"/>
    <mergeCell ref="F228:F229"/>
    <mergeCell ref="F230:F231"/>
    <mergeCell ref="F232:F233"/>
    <mergeCell ref="D250:D251"/>
    <mergeCell ref="K242:L242"/>
    <mergeCell ref="C243:D243"/>
    <mergeCell ref="E243:F243"/>
    <mergeCell ref="G243:H243"/>
    <mergeCell ref="I243:J243"/>
    <mergeCell ref="K243:L243"/>
    <mergeCell ref="A242:A243"/>
    <mergeCell ref="B242:B243"/>
    <mergeCell ref="C242:D242"/>
    <mergeCell ref="E242:F242"/>
    <mergeCell ref="D244:D245"/>
    <mergeCell ref="G242:H242"/>
    <mergeCell ref="I242:J242"/>
    <mergeCell ref="H246:H247"/>
    <mergeCell ref="J246:J247"/>
    <mergeCell ref="L246:L247"/>
    <mergeCell ref="D246:D247"/>
    <mergeCell ref="A240:A241"/>
    <mergeCell ref="B240:B241"/>
    <mergeCell ref="D240:D241"/>
    <mergeCell ref="H240:H241"/>
    <mergeCell ref="J240:J241"/>
    <mergeCell ref="L240:L241"/>
    <mergeCell ref="L220:L221"/>
    <mergeCell ref="A236:A237"/>
    <mergeCell ref="A238:A239"/>
    <mergeCell ref="B238:B239"/>
    <mergeCell ref="D238:D239"/>
    <mergeCell ref="H238:H239"/>
    <mergeCell ref="J238:J239"/>
    <mergeCell ref="L238:L239"/>
    <mergeCell ref="D266:D267"/>
    <mergeCell ref="A250:A251"/>
    <mergeCell ref="B250:B251"/>
    <mergeCell ref="F250:F251"/>
    <mergeCell ref="H250:H251"/>
    <mergeCell ref="J250:J251"/>
    <mergeCell ref="L250:L251"/>
    <mergeCell ref="D252:D253"/>
    <mergeCell ref="A248:A249"/>
    <mergeCell ref="B248:B249"/>
    <mergeCell ref="F248:F249"/>
    <mergeCell ref="H248:H249"/>
    <mergeCell ref="J248:J249"/>
    <mergeCell ref="L248:L249"/>
    <mergeCell ref="D262:D263"/>
    <mergeCell ref="A246:A247"/>
    <mergeCell ref="B246:B247"/>
    <mergeCell ref="F246:F247"/>
    <mergeCell ref="D254:D255"/>
    <mergeCell ref="A254:A255"/>
    <mergeCell ref="B254:B255"/>
    <mergeCell ref="F254:F255"/>
    <mergeCell ref="H254:H255"/>
    <mergeCell ref="J254:J255"/>
    <mergeCell ref="L254:L255"/>
    <mergeCell ref="D248:D249"/>
    <mergeCell ref="D268:D269"/>
    <mergeCell ref="A264:A265"/>
    <mergeCell ref="B264:B265"/>
    <mergeCell ref="F264:F265"/>
    <mergeCell ref="H264:H265"/>
    <mergeCell ref="J264:J265"/>
    <mergeCell ref="L264:L265"/>
    <mergeCell ref="D264:D265"/>
    <mergeCell ref="A244:A245"/>
    <mergeCell ref="B244:B245"/>
    <mergeCell ref="F244:F245"/>
    <mergeCell ref="H244:H245"/>
    <mergeCell ref="J244:J245"/>
    <mergeCell ref="L244:L245"/>
    <mergeCell ref="A252:A253"/>
    <mergeCell ref="B252:B253"/>
    <mergeCell ref="F252:F253"/>
    <mergeCell ref="H252:H253"/>
    <mergeCell ref="J252:J253"/>
    <mergeCell ref="L252:L253"/>
    <mergeCell ref="A258:A259"/>
    <mergeCell ref="B258:B259"/>
    <mergeCell ref="F258:F259"/>
    <mergeCell ref="H258:H259"/>
    <mergeCell ref="J258:J259"/>
    <mergeCell ref="A266:A267"/>
    <mergeCell ref="B266:B267"/>
    <mergeCell ref="F266:F267"/>
    <mergeCell ref="H266:H267"/>
    <mergeCell ref="J266:J267"/>
    <mergeCell ref="L266:L267"/>
    <mergeCell ref="D258:D259"/>
    <mergeCell ref="A272:A273"/>
    <mergeCell ref="B272:B273"/>
    <mergeCell ref="F272:F273"/>
    <mergeCell ref="H272:H273"/>
    <mergeCell ref="J272:J273"/>
    <mergeCell ref="L272:L273"/>
    <mergeCell ref="D276:D277"/>
    <mergeCell ref="A256:A257"/>
    <mergeCell ref="B256:B257"/>
    <mergeCell ref="F256:F257"/>
    <mergeCell ref="H256:H257"/>
    <mergeCell ref="J256:J257"/>
    <mergeCell ref="L256:L257"/>
    <mergeCell ref="D270:D271"/>
    <mergeCell ref="L258:L259"/>
    <mergeCell ref="D256:D257"/>
    <mergeCell ref="A262:A263"/>
    <mergeCell ref="B262:B263"/>
    <mergeCell ref="F262:F263"/>
    <mergeCell ref="H262:H263"/>
    <mergeCell ref="J262:J263"/>
    <mergeCell ref="L262:L263"/>
    <mergeCell ref="K260:L260"/>
    <mergeCell ref="C261:D261"/>
    <mergeCell ref="E261:F261"/>
    <mergeCell ref="G261:H261"/>
    <mergeCell ref="I261:J261"/>
    <mergeCell ref="K261:L261"/>
    <mergeCell ref="A260:A261"/>
    <mergeCell ref="B260:B261"/>
    <mergeCell ref="C260:D260"/>
    <mergeCell ref="D272:D273"/>
    <mergeCell ref="E260:F260"/>
    <mergeCell ref="G260:H260"/>
    <mergeCell ref="I260:J260"/>
    <mergeCell ref="A270:A271"/>
    <mergeCell ref="B270:B271"/>
    <mergeCell ref="F270:F271"/>
    <mergeCell ref="H270:H271"/>
    <mergeCell ref="J270:J271"/>
    <mergeCell ref="L270:L271"/>
    <mergeCell ref="D284:D285"/>
    <mergeCell ref="A268:A269"/>
    <mergeCell ref="B268:B269"/>
    <mergeCell ref="F268:F269"/>
    <mergeCell ref="H268:H269"/>
    <mergeCell ref="J268:J269"/>
    <mergeCell ref="L268:L269"/>
    <mergeCell ref="D286:D287"/>
    <mergeCell ref="K278:L278"/>
    <mergeCell ref="C279:D279"/>
    <mergeCell ref="E279:F279"/>
    <mergeCell ref="G279:H279"/>
    <mergeCell ref="I279:J279"/>
    <mergeCell ref="K279:L279"/>
    <mergeCell ref="A278:A279"/>
    <mergeCell ref="B278:B279"/>
    <mergeCell ref="C278:D278"/>
    <mergeCell ref="E278:F278"/>
    <mergeCell ref="D280:D281"/>
    <mergeCell ref="G278:H278"/>
    <mergeCell ref="I278:J278"/>
    <mergeCell ref="H282:H283"/>
    <mergeCell ref="J282:J283"/>
    <mergeCell ref="A276:A277"/>
    <mergeCell ref="B276:B277"/>
    <mergeCell ref="F276:F277"/>
    <mergeCell ref="H276:H277"/>
    <mergeCell ref="J276:J277"/>
    <mergeCell ref="L276:L277"/>
    <mergeCell ref="F282:F283"/>
    <mergeCell ref="D294:D295"/>
    <mergeCell ref="A274:A275"/>
    <mergeCell ref="B274:B275"/>
    <mergeCell ref="F274:F275"/>
    <mergeCell ref="H274:H275"/>
    <mergeCell ref="J274:J275"/>
    <mergeCell ref="L274:L275"/>
    <mergeCell ref="D302:D303"/>
    <mergeCell ref="A286:A287"/>
    <mergeCell ref="B286:B287"/>
    <mergeCell ref="F286:F287"/>
    <mergeCell ref="H286:H287"/>
    <mergeCell ref="J286:J287"/>
    <mergeCell ref="L286:L287"/>
    <mergeCell ref="D288:D289"/>
    <mergeCell ref="A284:A285"/>
    <mergeCell ref="B284:B285"/>
    <mergeCell ref="F284:F285"/>
    <mergeCell ref="H284:H285"/>
    <mergeCell ref="J284:J285"/>
    <mergeCell ref="L284:L285"/>
    <mergeCell ref="D298:D299"/>
    <mergeCell ref="A282:A283"/>
    <mergeCell ref="B282:B283"/>
    <mergeCell ref="D274:D275"/>
    <mergeCell ref="A300:A301"/>
    <mergeCell ref="B300:B301"/>
    <mergeCell ref="F300:F301"/>
    <mergeCell ref="J300:J301"/>
    <mergeCell ref="H300:H301"/>
    <mergeCell ref="L300:L301"/>
    <mergeCell ref="D300:D301"/>
    <mergeCell ref="A302:A303"/>
    <mergeCell ref="B302:B303"/>
    <mergeCell ref="F302:F303"/>
    <mergeCell ref="J302:J303"/>
    <mergeCell ref="H302:H303"/>
    <mergeCell ref="L302:L303"/>
    <mergeCell ref="E296:F296"/>
    <mergeCell ref="G296:H296"/>
    <mergeCell ref="I296:J296"/>
    <mergeCell ref="A306:A307"/>
    <mergeCell ref="B306:B307"/>
    <mergeCell ref="F306:F307"/>
    <mergeCell ref="J306:J307"/>
    <mergeCell ref="H306:H307"/>
    <mergeCell ref="L306:L307"/>
    <mergeCell ref="A280:A281"/>
    <mergeCell ref="B280:B281"/>
    <mergeCell ref="F280:F281"/>
    <mergeCell ref="H280:H281"/>
    <mergeCell ref="J280:J281"/>
    <mergeCell ref="L280:L281"/>
    <mergeCell ref="A288:A289"/>
    <mergeCell ref="B288:B289"/>
    <mergeCell ref="F288:F289"/>
    <mergeCell ref="H288:H289"/>
    <mergeCell ref="J288:J289"/>
    <mergeCell ref="L288:L289"/>
    <mergeCell ref="A294:A295"/>
    <mergeCell ref="B294:B295"/>
    <mergeCell ref="F294:F295"/>
    <mergeCell ref="H294:H295"/>
    <mergeCell ref="J294:J295"/>
    <mergeCell ref="D290:D291"/>
    <mergeCell ref="A290:A291"/>
    <mergeCell ref="B290:B291"/>
    <mergeCell ref="F290:F291"/>
    <mergeCell ref="H290:H291"/>
    <mergeCell ref="J290:J291"/>
    <mergeCell ref="L290:L291"/>
    <mergeCell ref="L282:L283"/>
    <mergeCell ref="D282:D283"/>
    <mergeCell ref="B308:B309"/>
    <mergeCell ref="F308:F309"/>
    <mergeCell ref="J308:J309"/>
    <mergeCell ref="H308:H309"/>
    <mergeCell ref="L308:L309"/>
    <mergeCell ref="D312:D313"/>
    <mergeCell ref="A292:A293"/>
    <mergeCell ref="B292:B293"/>
    <mergeCell ref="F292:F293"/>
    <mergeCell ref="H292:H293"/>
    <mergeCell ref="J292:J293"/>
    <mergeCell ref="L292:L293"/>
    <mergeCell ref="D306:D307"/>
    <mergeCell ref="L294:L295"/>
    <mergeCell ref="D292:D293"/>
    <mergeCell ref="A298:A299"/>
    <mergeCell ref="B298:B299"/>
    <mergeCell ref="F298:F299"/>
    <mergeCell ref="J298:J299"/>
    <mergeCell ref="H298:H299"/>
    <mergeCell ref="L298:L299"/>
    <mergeCell ref="K296:L296"/>
    <mergeCell ref="C297:D297"/>
    <mergeCell ref="E297:F297"/>
    <mergeCell ref="G297:H297"/>
    <mergeCell ref="I297:J297"/>
    <mergeCell ref="K297:L297"/>
    <mergeCell ref="A296:A297"/>
    <mergeCell ref="B296:B297"/>
    <mergeCell ref="C296:D296"/>
    <mergeCell ref="D308:D309"/>
    <mergeCell ref="D304:D305"/>
    <mergeCell ref="A304:A305"/>
    <mergeCell ref="B304:B305"/>
    <mergeCell ref="F304:F305"/>
    <mergeCell ref="J304:J305"/>
    <mergeCell ref="H304:H305"/>
    <mergeCell ref="L304:L305"/>
    <mergeCell ref="D322:D323"/>
    <mergeCell ref="K314:L314"/>
    <mergeCell ref="C315:D315"/>
    <mergeCell ref="E315:F315"/>
    <mergeCell ref="G315:H315"/>
    <mergeCell ref="I315:J315"/>
    <mergeCell ref="K315:L315"/>
    <mergeCell ref="A314:A315"/>
    <mergeCell ref="B314:B315"/>
    <mergeCell ref="C314:D314"/>
    <mergeCell ref="E314:F314"/>
    <mergeCell ref="D316:D317"/>
    <mergeCell ref="G314:H314"/>
    <mergeCell ref="I314:J314"/>
    <mergeCell ref="J318:J319"/>
    <mergeCell ref="H318:H319"/>
    <mergeCell ref="L318:L319"/>
    <mergeCell ref="A312:A313"/>
    <mergeCell ref="B312:B313"/>
    <mergeCell ref="F312:F313"/>
    <mergeCell ref="J312:J313"/>
    <mergeCell ref="H312:H313"/>
    <mergeCell ref="L312:L313"/>
    <mergeCell ref="D310:D311"/>
    <mergeCell ref="A308:A309"/>
    <mergeCell ref="A310:A311"/>
    <mergeCell ref="B310:B311"/>
    <mergeCell ref="F310:F311"/>
    <mergeCell ref="J310:J311"/>
    <mergeCell ref="H310:H311"/>
    <mergeCell ref="L310:L311"/>
    <mergeCell ref="D338:D339"/>
    <mergeCell ref="A322:A323"/>
    <mergeCell ref="B322:B323"/>
    <mergeCell ref="F322:F323"/>
    <mergeCell ref="J322:J323"/>
    <mergeCell ref="H322:H323"/>
    <mergeCell ref="L322:L323"/>
    <mergeCell ref="D324:D325"/>
    <mergeCell ref="A320:A321"/>
    <mergeCell ref="B320:B321"/>
    <mergeCell ref="F320:F321"/>
    <mergeCell ref="J320:J321"/>
    <mergeCell ref="H320:H321"/>
    <mergeCell ref="L320:L321"/>
    <mergeCell ref="D334:D335"/>
    <mergeCell ref="A318:A319"/>
    <mergeCell ref="B318:B319"/>
    <mergeCell ref="A316:A317"/>
    <mergeCell ref="D340:D341"/>
    <mergeCell ref="A336:A337"/>
    <mergeCell ref="B336:B337"/>
    <mergeCell ref="F336:F337"/>
    <mergeCell ref="H336:H337"/>
    <mergeCell ref="J336:J337"/>
    <mergeCell ref="L336:L337"/>
    <mergeCell ref="D336:D337"/>
    <mergeCell ref="A338:A339"/>
    <mergeCell ref="B338:B339"/>
    <mergeCell ref="F338:F339"/>
    <mergeCell ref="H338:H339"/>
    <mergeCell ref="J338:J339"/>
    <mergeCell ref="L338:L339"/>
    <mergeCell ref="E332:F332"/>
    <mergeCell ref="G332:H332"/>
    <mergeCell ref="I332:J332"/>
    <mergeCell ref="B316:B317"/>
    <mergeCell ref="F316:F317"/>
    <mergeCell ref="J316:J317"/>
    <mergeCell ref="H316:H317"/>
    <mergeCell ref="L316:L317"/>
    <mergeCell ref="A324:A325"/>
    <mergeCell ref="B324:B325"/>
    <mergeCell ref="F324:F325"/>
    <mergeCell ref="J324:J325"/>
    <mergeCell ref="H324:H325"/>
    <mergeCell ref="L324:L325"/>
    <mergeCell ref="A330:A331"/>
    <mergeCell ref="B330:B331"/>
    <mergeCell ref="F330:F331"/>
    <mergeCell ref="J330:J331"/>
    <mergeCell ref="H330:H331"/>
    <mergeCell ref="D330:D331"/>
    <mergeCell ref="F318:F319"/>
    <mergeCell ref="D326:D327"/>
    <mergeCell ref="A326:A327"/>
    <mergeCell ref="B326:B327"/>
    <mergeCell ref="F326:F327"/>
    <mergeCell ref="J326:J327"/>
    <mergeCell ref="H326:H327"/>
    <mergeCell ref="L326:L327"/>
    <mergeCell ref="D320:D321"/>
    <mergeCell ref="D318:D319"/>
    <mergeCell ref="A344:A345"/>
    <mergeCell ref="B344:B345"/>
    <mergeCell ref="F344:F345"/>
    <mergeCell ref="H344:H345"/>
    <mergeCell ref="J344:J345"/>
    <mergeCell ref="L344:L345"/>
    <mergeCell ref="D348:D349"/>
    <mergeCell ref="A328:A329"/>
    <mergeCell ref="B328:B329"/>
    <mergeCell ref="F328:F329"/>
    <mergeCell ref="J328:J329"/>
    <mergeCell ref="H328:H329"/>
    <mergeCell ref="L328:L329"/>
    <mergeCell ref="D342:D343"/>
    <mergeCell ref="L330:L331"/>
    <mergeCell ref="D328:D329"/>
    <mergeCell ref="A334:A335"/>
    <mergeCell ref="B334:B335"/>
    <mergeCell ref="F334:F335"/>
    <mergeCell ref="H334:H335"/>
    <mergeCell ref="J334:J335"/>
    <mergeCell ref="L334:L335"/>
    <mergeCell ref="K332:L332"/>
    <mergeCell ref="C333:D333"/>
    <mergeCell ref="E333:F333"/>
    <mergeCell ref="G333:H333"/>
    <mergeCell ref="I333:J333"/>
    <mergeCell ref="K333:L333"/>
    <mergeCell ref="A332:A333"/>
    <mergeCell ref="B332:B333"/>
    <mergeCell ref="C332:D332"/>
    <mergeCell ref="D344:D345"/>
    <mergeCell ref="A342:A343"/>
    <mergeCell ref="B342:B343"/>
    <mergeCell ref="F342:F343"/>
    <mergeCell ref="H342:H343"/>
    <mergeCell ref="J342:J343"/>
    <mergeCell ref="L342:L343"/>
    <mergeCell ref="D356:D357"/>
    <mergeCell ref="A340:A341"/>
    <mergeCell ref="B340:B341"/>
    <mergeCell ref="F340:F341"/>
    <mergeCell ref="H340:H341"/>
    <mergeCell ref="J340:J341"/>
    <mergeCell ref="L340:L341"/>
    <mergeCell ref="D358:D359"/>
    <mergeCell ref="K350:L350"/>
    <mergeCell ref="C351:D351"/>
    <mergeCell ref="E351:F351"/>
    <mergeCell ref="G351:H351"/>
    <mergeCell ref="I351:J351"/>
    <mergeCell ref="K351:L351"/>
    <mergeCell ref="A350:A351"/>
    <mergeCell ref="B350:B351"/>
    <mergeCell ref="C350:D350"/>
    <mergeCell ref="E350:F350"/>
    <mergeCell ref="D352:D353"/>
    <mergeCell ref="G350:H350"/>
    <mergeCell ref="I350:J350"/>
    <mergeCell ref="H354:H355"/>
    <mergeCell ref="J354:J355"/>
    <mergeCell ref="A348:A349"/>
    <mergeCell ref="B348:B349"/>
    <mergeCell ref="F348:F349"/>
    <mergeCell ref="H348:H349"/>
    <mergeCell ref="J348:J349"/>
    <mergeCell ref="L348:L349"/>
    <mergeCell ref="D366:D367"/>
    <mergeCell ref="A346:A347"/>
    <mergeCell ref="B346:B347"/>
    <mergeCell ref="F346:F347"/>
    <mergeCell ref="H346:H347"/>
    <mergeCell ref="J346:J347"/>
    <mergeCell ref="L346:L347"/>
    <mergeCell ref="D374:D375"/>
    <mergeCell ref="A358:A359"/>
    <mergeCell ref="B358:B359"/>
    <mergeCell ref="F358:F359"/>
    <mergeCell ref="H358:H359"/>
    <mergeCell ref="J358:J359"/>
    <mergeCell ref="L358:L359"/>
    <mergeCell ref="D360:D361"/>
    <mergeCell ref="A356:A357"/>
    <mergeCell ref="B356:B357"/>
    <mergeCell ref="F356:F357"/>
    <mergeCell ref="H356:H357"/>
    <mergeCell ref="J356:J357"/>
    <mergeCell ref="L356:L357"/>
    <mergeCell ref="D370:D371"/>
    <mergeCell ref="A354:A355"/>
    <mergeCell ref="B354:B355"/>
    <mergeCell ref="D346:D347"/>
    <mergeCell ref="A372:A373"/>
    <mergeCell ref="B372:B373"/>
    <mergeCell ref="F372:F373"/>
    <mergeCell ref="H372:H373"/>
    <mergeCell ref="A380:A381"/>
    <mergeCell ref="L372:L373"/>
    <mergeCell ref="D372:D373"/>
    <mergeCell ref="A374:A375"/>
    <mergeCell ref="B374:B375"/>
    <mergeCell ref="F374:F375"/>
    <mergeCell ref="H374:H375"/>
    <mergeCell ref="J374:J375"/>
    <mergeCell ref="L374:L375"/>
    <mergeCell ref="E368:F368"/>
    <mergeCell ref="G368:H368"/>
    <mergeCell ref="I368:J368"/>
    <mergeCell ref="A378:A379"/>
    <mergeCell ref="B378:B379"/>
    <mergeCell ref="F378:F379"/>
    <mergeCell ref="H378:H379"/>
    <mergeCell ref="J378:J379"/>
    <mergeCell ref="L378:L379"/>
    <mergeCell ref="A376:A377"/>
    <mergeCell ref="B376:B377"/>
    <mergeCell ref="F376:F377"/>
    <mergeCell ref="H376:H377"/>
    <mergeCell ref="J376:J377"/>
    <mergeCell ref="L376:L377"/>
    <mergeCell ref="B368:B369"/>
    <mergeCell ref="C368:D368"/>
    <mergeCell ref="A352:A353"/>
    <mergeCell ref="B352:B353"/>
    <mergeCell ref="F352:F353"/>
    <mergeCell ref="H352:H353"/>
    <mergeCell ref="J352:J353"/>
    <mergeCell ref="L352:L353"/>
    <mergeCell ref="A360:A361"/>
    <mergeCell ref="B360:B361"/>
    <mergeCell ref="F360:F361"/>
    <mergeCell ref="H360:H361"/>
    <mergeCell ref="J360:J361"/>
    <mergeCell ref="L360:L361"/>
    <mergeCell ref="A366:A367"/>
    <mergeCell ref="B366:B367"/>
    <mergeCell ref="F366:F367"/>
    <mergeCell ref="H366:H367"/>
    <mergeCell ref="J366:J367"/>
    <mergeCell ref="F354:F355"/>
    <mergeCell ref="D362:D363"/>
    <mergeCell ref="A362:A363"/>
    <mergeCell ref="B362:B363"/>
    <mergeCell ref="F362:F363"/>
    <mergeCell ref="H362:H363"/>
    <mergeCell ref="J362:J363"/>
    <mergeCell ref="L362:L363"/>
    <mergeCell ref="L354:L355"/>
    <mergeCell ref="D354:D355"/>
    <mergeCell ref="A364:A365"/>
    <mergeCell ref="B364:B365"/>
    <mergeCell ref="F364:F365"/>
    <mergeCell ref="H364:H365"/>
    <mergeCell ref="J364:J365"/>
    <mergeCell ref="L364:L365"/>
    <mergeCell ref="D378:D379"/>
    <mergeCell ref="L366:L367"/>
    <mergeCell ref="D364:D365"/>
    <mergeCell ref="A370:A371"/>
    <mergeCell ref="B370:B371"/>
    <mergeCell ref="F370:F371"/>
    <mergeCell ref="H370:H371"/>
    <mergeCell ref="J370:J371"/>
    <mergeCell ref="L370:L371"/>
    <mergeCell ref="K368:L368"/>
    <mergeCell ref="C369:D369"/>
    <mergeCell ref="E369:F369"/>
    <mergeCell ref="G369:H369"/>
    <mergeCell ref="I369:J369"/>
    <mergeCell ref="K369:L369"/>
    <mergeCell ref="A368:A369"/>
    <mergeCell ref="D376:D377"/>
    <mergeCell ref="J372:J373"/>
    <mergeCell ref="K386:L386"/>
    <mergeCell ref="C387:D387"/>
    <mergeCell ref="E387:F387"/>
    <mergeCell ref="G387:H387"/>
    <mergeCell ref="I387:J387"/>
    <mergeCell ref="K387:L387"/>
    <mergeCell ref="L398:L399"/>
    <mergeCell ref="H388:H389"/>
    <mergeCell ref="J388:J389"/>
    <mergeCell ref="D394:D395"/>
    <mergeCell ref="K404:L404"/>
    <mergeCell ref="B380:B381"/>
    <mergeCell ref="F380:F381"/>
    <mergeCell ref="H380:H381"/>
    <mergeCell ref="J380:J381"/>
    <mergeCell ref="L380:L381"/>
    <mergeCell ref="D384:D385"/>
    <mergeCell ref="D380:D381"/>
    <mergeCell ref="B394:B395"/>
    <mergeCell ref="L394:L395"/>
    <mergeCell ref="F394:F395"/>
    <mergeCell ref="H394:H395"/>
    <mergeCell ref="J394:J395"/>
    <mergeCell ref="D396:D397"/>
    <mergeCell ref="D382:D383"/>
    <mergeCell ref="F388:F389"/>
    <mergeCell ref="A392:A393"/>
    <mergeCell ref="B392:B393"/>
    <mergeCell ref="L392:L393"/>
    <mergeCell ref="L406:L407"/>
    <mergeCell ref="F392:F393"/>
    <mergeCell ref="H392:H393"/>
    <mergeCell ref="J392:J393"/>
    <mergeCell ref="D406:D407"/>
    <mergeCell ref="A390:A391"/>
    <mergeCell ref="B390:B391"/>
    <mergeCell ref="L390:L391"/>
    <mergeCell ref="L412:L413"/>
    <mergeCell ref="A384:A385"/>
    <mergeCell ref="B384:B385"/>
    <mergeCell ref="F384:F385"/>
    <mergeCell ref="H384:H385"/>
    <mergeCell ref="J384:J385"/>
    <mergeCell ref="L384:L385"/>
    <mergeCell ref="A386:A387"/>
    <mergeCell ref="B386:B387"/>
    <mergeCell ref="C386:D386"/>
    <mergeCell ref="E386:F386"/>
    <mergeCell ref="D388:D389"/>
    <mergeCell ref="G386:H386"/>
    <mergeCell ref="I386:J386"/>
    <mergeCell ref="F390:F391"/>
    <mergeCell ref="H390:H391"/>
    <mergeCell ref="J390:J391"/>
    <mergeCell ref="D390:D391"/>
    <mergeCell ref="A388:A389"/>
    <mergeCell ref="B388:B389"/>
    <mergeCell ref="L388:L389"/>
    <mergeCell ref="H406:H407"/>
    <mergeCell ref="A382:A383"/>
    <mergeCell ref="B382:B383"/>
    <mergeCell ref="F382:F383"/>
    <mergeCell ref="H382:H383"/>
    <mergeCell ref="J382:J383"/>
    <mergeCell ref="L382:L383"/>
    <mergeCell ref="D410:D411"/>
    <mergeCell ref="A394:A395"/>
    <mergeCell ref="L418:L419"/>
    <mergeCell ref="A400:A401"/>
    <mergeCell ref="B400:B401"/>
    <mergeCell ref="L400:L401"/>
    <mergeCell ref="F400:F401"/>
    <mergeCell ref="H400:H401"/>
    <mergeCell ref="J400:J401"/>
    <mergeCell ref="K422:L422"/>
    <mergeCell ref="B404:B405"/>
    <mergeCell ref="H414:H415"/>
    <mergeCell ref="J414:J415"/>
    <mergeCell ref="D416:D417"/>
    <mergeCell ref="D412:D413"/>
    <mergeCell ref="D402:D403"/>
    <mergeCell ref="A416:A417"/>
    <mergeCell ref="A406:A407"/>
    <mergeCell ref="F420:F421"/>
    <mergeCell ref="B406:B407"/>
    <mergeCell ref="F406:F407"/>
    <mergeCell ref="A410:A411"/>
    <mergeCell ref="J406:J407"/>
    <mergeCell ref="C405:D405"/>
    <mergeCell ref="E405:F405"/>
    <mergeCell ref="G423:H423"/>
    <mergeCell ref="I423:J423"/>
    <mergeCell ref="D392:D393"/>
    <mergeCell ref="A396:A397"/>
    <mergeCell ref="B396:B397"/>
    <mergeCell ref="L396:L397"/>
    <mergeCell ref="F396:F397"/>
    <mergeCell ref="H396:H397"/>
    <mergeCell ref="J396:J397"/>
    <mergeCell ref="D418:D419"/>
    <mergeCell ref="A402:A403"/>
    <mergeCell ref="B402:B403"/>
    <mergeCell ref="L402:L403"/>
    <mergeCell ref="F402:F403"/>
    <mergeCell ref="H402:H403"/>
    <mergeCell ref="J402:J403"/>
    <mergeCell ref="D400:D401"/>
    <mergeCell ref="A398:A399"/>
    <mergeCell ref="B398:B399"/>
    <mergeCell ref="C423:D423"/>
    <mergeCell ref="F398:F399"/>
    <mergeCell ref="H398:H399"/>
    <mergeCell ref="J398:J399"/>
    <mergeCell ref="E423:F423"/>
    <mergeCell ref="D398:D399"/>
    <mergeCell ref="C404:D404"/>
    <mergeCell ref="E404:F404"/>
    <mergeCell ref="G404:H404"/>
    <mergeCell ref="I404:J404"/>
    <mergeCell ref="A414:A415"/>
    <mergeCell ref="B414:B415"/>
    <mergeCell ref="F414:F415"/>
    <mergeCell ref="A412:A413"/>
    <mergeCell ref="B412:B413"/>
    <mergeCell ref="F412:F413"/>
    <mergeCell ref="H412:H413"/>
    <mergeCell ref="J412:J413"/>
    <mergeCell ref="B410:B411"/>
    <mergeCell ref="F410:F411"/>
    <mergeCell ref="H410:H411"/>
    <mergeCell ref="J410:J411"/>
    <mergeCell ref="L410:L411"/>
    <mergeCell ref="G422:H422"/>
    <mergeCell ref="I422:J422"/>
    <mergeCell ref="B416:B417"/>
    <mergeCell ref="F416:F417"/>
    <mergeCell ref="H416:H417"/>
    <mergeCell ref="J416:J417"/>
    <mergeCell ref="L416:L417"/>
    <mergeCell ref="D420:D421"/>
    <mergeCell ref="A420:A421"/>
    <mergeCell ref="D414:D415"/>
    <mergeCell ref="B420:B421"/>
    <mergeCell ref="G405:H405"/>
    <mergeCell ref="I405:J405"/>
    <mergeCell ref="K405:L405"/>
    <mergeCell ref="A404:A405"/>
    <mergeCell ref="H420:H421"/>
    <mergeCell ref="J420:J421"/>
    <mergeCell ref="L420:L421"/>
    <mergeCell ref="A418:A419"/>
    <mergeCell ref="B418:B419"/>
    <mergeCell ref="F418:F419"/>
    <mergeCell ref="H418:H419"/>
    <mergeCell ref="J418:J419"/>
    <mergeCell ref="A422:A423"/>
    <mergeCell ref="B422:B423"/>
    <mergeCell ref="C422:D422"/>
    <mergeCell ref="E422:F422"/>
    <mergeCell ref="A430:A431"/>
    <mergeCell ref="B430:B431"/>
    <mergeCell ref="F430:F431"/>
    <mergeCell ref="H430:H431"/>
    <mergeCell ref="J430:J431"/>
    <mergeCell ref="L430:L431"/>
    <mergeCell ref="A428:A429"/>
    <mergeCell ref="B428:B429"/>
    <mergeCell ref="F428:F429"/>
    <mergeCell ref="H428:H429"/>
    <mergeCell ref="J428:J429"/>
    <mergeCell ref="L424:L425"/>
    <mergeCell ref="A426:A427"/>
    <mergeCell ref="B426:B427"/>
    <mergeCell ref="F426:F427"/>
    <mergeCell ref="H426:H427"/>
    <mergeCell ref="J426:J427"/>
    <mergeCell ref="A424:A425"/>
    <mergeCell ref="K423:L423"/>
    <mergeCell ref="L414:L415"/>
    <mergeCell ref="A408:A409"/>
    <mergeCell ref="B408:B409"/>
    <mergeCell ref="F408:F409"/>
    <mergeCell ref="H408:H409"/>
    <mergeCell ref="J408:J409"/>
    <mergeCell ref="L408:L409"/>
    <mergeCell ref="J424:J425"/>
    <mergeCell ref="D408:D409"/>
    <mergeCell ref="C440:D440"/>
    <mergeCell ref="E440:F440"/>
    <mergeCell ref="G440:H440"/>
    <mergeCell ref="I440:J440"/>
    <mergeCell ref="L438:L439"/>
    <mergeCell ref="A436:A437"/>
    <mergeCell ref="B436:B437"/>
    <mergeCell ref="F436:F437"/>
    <mergeCell ref="H436:H437"/>
    <mergeCell ref="J436:J437"/>
    <mergeCell ref="F424:F425"/>
    <mergeCell ref="H424:H425"/>
    <mergeCell ref="D428:D429"/>
    <mergeCell ref="D430:D431"/>
    <mergeCell ref="D426:D427"/>
    <mergeCell ref="L428:L429"/>
    <mergeCell ref="L426:L427"/>
    <mergeCell ref="L432:L433"/>
    <mergeCell ref="A434:A435"/>
    <mergeCell ref="B434:B435"/>
    <mergeCell ref="F434:F435"/>
    <mergeCell ref="H434:H435"/>
    <mergeCell ref="J434:J435"/>
    <mergeCell ref="L434:L435"/>
    <mergeCell ref="A432:A433"/>
    <mergeCell ref="B432:B433"/>
    <mergeCell ref="F432:F433"/>
    <mergeCell ref="H432:H433"/>
    <mergeCell ref="J432:J433"/>
    <mergeCell ref="D424:D425"/>
    <mergeCell ref="B424:B425"/>
    <mergeCell ref="L442:L443"/>
    <mergeCell ref="A444:A445"/>
    <mergeCell ref="B444:B445"/>
    <mergeCell ref="D444:D445"/>
    <mergeCell ref="F444:F445"/>
    <mergeCell ref="H444:H445"/>
    <mergeCell ref="J444:J445"/>
    <mergeCell ref="L444:L445"/>
    <mergeCell ref="A442:A443"/>
    <mergeCell ref="B442:B443"/>
    <mergeCell ref="D442:D443"/>
    <mergeCell ref="F442:F443"/>
    <mergeCell ref="H442:H443"/>
    <mergeCell ref="J442:J443"/>
    <mergeCell ref="D436:D437"/>
    <mergeCell ref="D438:D439"/>
    <mergeCell ref="D432:D433"/>
    <mergeCell ref="L436:L437"/>
    <mergeCell ref="A438:A439"/>
    <mergeCell ref="B438:B439"/>
    <mergeCell ref="F438:F439"/>
    <mergeCell ref="H438:H439"/>
    <mergeCell ref="J438:J439"/>
    <mergeCell ref="D434:D435"/>
    <mergeCell ref="K440:L440"/>
    <mergeCell ref="C441:D441"/>
    <mergeCell ref="E441:F441"/>
    <mergeCell ref="G441:H441"/>
    <mergeCell ref="I441:J441"/>
    <mergeCell ref="K441:L441"/>
    <mergeCell ref="A440:A441"/>
    <mergeCell ref="B440:B441"/>
    <mergeCell ref="L450:L451"/>
    <mergeCell ref="A452:A453"/>
    <mergeCell ref="B452:B453"/>
    <mergeCell ref="D452:D453"/>
    <mergeCell ref="F452:F453"/>
    <mergeCell ref="H452:H453"/>
    <mergeCell ref="J452:J453"/>
    <mergeCell ref="L452:L453"/>
    <mergeCell ref="A450:A451"/>
    <mergeCell ref="B450:B451"/>
    <mergeCell ref="D450:D451"/>
    <mergeCell ref="F450:F451"/>
    <mergeCell ref="H450:H451"/>
    <mergeCell ref="J450:J451"/>
    <mergeCell ref="L446:L447"/>
    <mergeCell ref="A448:A449"/>
    <mergeCell ref="B448:B449"/>
    <mergeCell ref="D448:D449"/>
    <mergeCell ref="F448:F449"/>
    <mergeCell ref="H448:H449"/>
    <mergeCell ref="J448:J449"/>
    <mergeCell ref="L448:L449"/>
    <mergeCell ref="A446:A447"/>
    <mergeCell ref="B446:B447"/>
    <mergeCell ref="D446:D447"/>
    <mergeCell ref="F446:F447"/>
    <mergeCell ref="H446:H447"/>
    <mergeCell ref="J446:J447"/>
    <mergeCell ref="K458:L458"/>
    <mergeCell ref="C459:D459"/>
    <mergeCell ref="E459:F459"/>
    <mergeCell ref="G459:H459"/>
    <mergeCell ref="I459:J459"/>
    <mergeCell ref="K459:L459"/>
    <mergeCell ref="A458:A459"/>
    <mergeCell ref="B458:B459"/>
    <mergeCell ref="C458:D458"/>
    <mergeCell ref="E458:F458"/>
    <mergeCell ref="G458:H458"/>
    <mergeCell ref="I458:J458"/>
    <mergeCell ref="L454:L455"/>
    <mergeCell ref="A456:A457"/>
    <mergeCell ref="B456:B457"/>
    <mergeCell ref="D456:D457"/>
    <mergeCell ref="F456:F457"/>
    <mergeCell ref="H456:H457"/>
    <mergeCell ref="J456:J457"/>
    <mergeCell ref="L456:L457"/>
    <mergeCell ref="A454:A455"/>
    <mergeCell ref="B454:B455"/>
    <mergeCell ref="D454:D455"/>
    <mergeCell ref="F454:F455"/>
    <mergeCell ref="H454:H455"/>
    <mergeCell ref="J454:J455"/>
    <mergeCell ref="B466:B467"/>
    <mergeCell ref="D466:D467"/>
    <mergeCell ref="F466:F467"/>
    <mergeCell ref="H466:H467"/>
    <mergeCell ref="J466:J467"/>
    <mergeCell ref="L466:L467"/>
    <mergeCell ref="A464:A465"/>
    <mergeCell ref="B464:B465"/>
    <mergeCell ref="D464:D465"/>
    <mergeCell ref="F464:F465"/>
    <mergeCell ref="H464:H465"/>
    <mergeCell ref="J464:J465"/>
    <mergeCell ref="L460:L461"/>
    <mergeCell ref="A462:A463"/>
    <mergeCell ref="B462:B463"/>
    <mergeCell ref="D462:D463"/>
    <mergeCell ref="F462:F463"/>
    <mergeCell ref="H462:H463"/>
    <mergeCell ref="J462:J463"/>
    <mergeCell ref="L462:L463"/>
    <mergeCell ref="A460:A461"/>
    <mergeCell ref="B460:B461"/>
    <mergeCell ref="D460:D461"/>
    <mergeCell ref="F460:F461"/>
    <mergeCell ref="H460:H461"/>
    <mergeCell ref="J460:J461"/>
    <mergeCell ref="F238:F239"/>
    <mergeCell ref="F240:F241"/>
    <mergeCell ref="L472:L473"/>
    <mergeCell ref="A474:A475"/>
    <mergeCell ref="B474:B475"/>
    <mergeCell ref="D474:D475"/>
    <mergeCell ref="F474:F475"/>
    <mergeCell ref="H474:H475"/>
    <mergeCell ref="J474:J475"/>
    <mergeCell ref="L474:L475"/>
    <mergeCell ref="A472:A473"/>
    <mergeCell ref="B472:B473"/>
    <mergeCell ref="D472:D473"/>
    <mergeCell ref="F472:F473"/>
    <mergeCell ref="H472:H473"/>
    <mergeCell ref="J472:J473"/>
    <mergeCell ref="L468:L469"/>
    <mergeCell ref="A470:A471"/>
    <mergeCell ref="B470:B471"/>
    <mergeCell ref="D470:D471"/>
    <mergeCell ref="F470:F471"/>
    <mergeCell ref="H470:H471"/>
    <mergeCell ref="J470:J471"/>
    <mergeCell ref="L470:L471"/>
    <mergeCell ref="A468:A469"/>
    <mergeCell ref="B468:B469"/>
    <mergeCell ref="D468:D469"/>
    <mergeCell ref="F468:F469"/>
    <mergeCell ref="H468:H469"/>
    <mergeCell ref="J468:J469"/>
    <mergeCell ref="L464:L465"/>
    <mergeCell ref="A466:A467"/>
  </mergeCells>
  <phoneticPr fontId="3" type="noConversion"/>
  <conditionalFormatting sqref="S9:S29">
    <cfRule type="cellIs" dxfId="3" priority="3" operator="greaterThan">
      <formula>0</formula>
    </cfRule>
    <cfRule type="cellIs" dxfId="2" priority="4" operator="lessThan">
      <formula>0</formula>
    </cfRule>
  </conditionalFormatting>
  <printOptions horizontalCentered="1"/>
  <pageMargins left="0.19685039370078741" right="0.19685039370078741" top="0.59055118110236227" bottom="0.15748031496062992" header="0" footer="0.51181102362204722"/>
  <pageSetup paperSize="9" scale="73" fitToHeight="0" orientation="portrait" r:id="rId1"/>
  <headerFooter alignWithMargins="0"/>
  <rowBreaks count="25" manualBreakCount="25">
    <brk id="25" max="16383" man="1"/>
    <brk id="43" max="16383" man="1"/>
    <brk id="61" max="16383" man="1"/>
    <brk id="79" max="16383" man="1"/>
    <brk id="97" max="16383" man="1"/>
    <brk id="115" max="16383" man="1"/>
    <brk id="133" max="16383" man="1"/>
    <brk id="151" max="16383" man="1"/>
    <brk id="169" max="16383" man="1"/>
    <brk id="187" max="16383" man="1"/>
    <brk id="205" max="16383" man="1"/>
    <brk id="223" max="16383" man="1"/>
    <brk id="241" max="16383" man="1"/>
    <brk id="259" max="16383" man="1"/>
    <brk id="277" max="16383" man="1"/>
    <brk id="295" max="16383" man="1"/>
    <brk id="313" max="16383" man="1"/>
    <brk id="331" max="16383" man="1"/>
    <brk id="349" max="16383" man="1"/>
    <brk id="367" max="16383" man="1"/>
    <brk id="385" max="16383" man="1"/>
    <brk id="403" max="16383" man="1"/>
    <brk id="421" max="16383" man="1"/>
    <brk id="439" max="11" man="1"/>
    <brk id="457" max="11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U103"/>
  <sheetViews>
    <sheetView zoomScale="85" zoomScaleNormal="85" workbookViewId="0">
      <selection activeCell="V16" sqref="V16"/>
    </sheetView>
  </sheetViews>
  <sheetFormatPr defaultRowHeight="13.5" x14ac:dyDescent="0.3"/>
  <cols>
    <col min="1" max="1" width="5.625" style="2" customWidth="1"/>
    <col min="2" max="2" width="4.625" style="2" bestFit="1" customWidth="1"/>
    <col min="3" max="3" width="22" style="2" customWidth="1"/>
    <col min="4" max="8" width="16.625" style="2" customWidth="1"/>
    <col min="9" max="9" width="16.5" style="2" customWidth="1"/>
    <col min="10" max="11" width="16.625" style="2" customWidth="1"/>
    <col min="12" max="12" width="5" style="2" customWidth="1"/>
    <col min="13" max="13" width="2.875" style="2" customWidth="1"/>
    <col min="14" max="15" width="16.625" style="4" customWidth="1"/>
    <col min="16" max="16" width="11" style="4" customWidth="1"/>
    <col min="17" max="18" width="11" style="2" customWidth="1"/>
    <col min="19" max="19" width="9" style="27"/>
    <col min="20" max="20" width="9" style="2"/>
    <col min="21" max="21" width="9.5" style="2" customWidth="1"/>
    <col min="22" max="16384" width="9" style="2"/>
  </cols>
  <sheetData>
    <row r="1" spans="1:21" s="1" customFormat="1" ht="51.75" customHeight="1" thickBot="1" x14ac:dyDescent="0.35">
      <c r="B1" s="182" t="s">
        <v>87</v>
      </c>
      <c r="C1" s="182"/>
      <c r="D1" s="182"/>
      <c r="E1" s="182"/>
      <c r="F1" s="182"/>
      <c r="G1" s="182"/>
      <c r="H1" s="182"/>
      <c r="I1" s="182"/>
      <c r="J1" s="182"/>
      <c r="K1" s="182"/>
      <c r="N1" s="3"/>
      <c r="O1" s="3"/>
      <c r="P1" s="3"/>
      <c r="S1" s="26"/>
    </row>
    <row r="2" spans="1:21" s="1" customFormat="1" ht="30" customHeight="1" x14ac:dyDescent="0.3">
      <c r="B2" s="84" t="s">
        <v>31</v>
      </c>
      <c r="C2" s="85" t="s">
        <v>32</v>
      </c>
      <c r="D2" s="86" t="s">
        <v>33</v>
      </c>
      <c r="E2" s="86" t="s">
        <v>1</v>
      </c>
      <c r="F2" s="86" t="s">
        <v>2</v>
      </c>
      <c r="G2" s="86" t="s">
        <v>3</v>
      </c>
      <c r="H2" s="86" t="s">
        <v>4</v>
      </c>
      <c r="I2" s="86" t="s">
        <v>5</v>
      </c>
      <c r="J2" s="86" t="s">
        <v>6</v>
      </c>
      <c r="K2" s="87" t="s">
        <v>34</v>
      </c>
      <c r="N2" s="3"/>
      <c r="O2" s="3"/>
      <c r="P2" s="3"/>
      <c r="S2" s="26"/>
    </row>
    <row r="3" spans="1:21" s="1" customFormat="1" ht="30" customHeight="1" x14ac:dyDescent="0.3">
      <c r="A3" s="41"/>
      <c r="B3" s="88">
        <v>1</v>
      </c>
      <c r="C3" s="79">
        <v>45917</v>
      </c>
      <c r="D3" s="92"/>
      <c r="E3" s="44" t="s">
        <v>30</v>
      </c>
      <c r="F3" s="8" t="s">
        <v>55</v>
      </c>
      <c r="G3" s="8" t="s">
        <v>55</v>
      </c>
      <c r="H3" s="8" t="s">
        <v>55</v>
      </c>
      <c r="I3" s="8" t="s">
        <v>55</v>
      </c>
      <c r="J3" s="8" t="s">
        <v>55</v>
      </c>
      <c r="K3" s="8" t="s">
        <v>55</v>
      </c>
      <c r="N3" s="3"/>
      <c r="O3" s="3"/>
      <c r="P3" s="3"/>
      <c r="S3" s="26"/>
    </row>
    <row r="4" spans="1:21" s="1" customFormat="1" ht="30" customHeight="1" x14ac:dyDescent="0.3">
      <c r="A4" s="41"/>
      <c r="B4" s="88">
        <v>2</v>
      </c>
      <c r="C4" s="80">
        <f>WORKDAY($C$3,ROW()-3,$U$4:$U$33)</f>
        <v>45918</v>
      </c>
      <c r="D4" s="96" t="s">
        <v>60</v>
      </c>
      <c r="E4" s="96" t="s">
        <v>60</v>
      </c>
      <c r="F4" s="96" t="s">
        <v>60</v>
      </c>
      <c r="G4" s="96" t="s">
        <v>60</v>
      </c>
      <c r="H4" s="93"/>
      <c r="I4" s="8" t="s">
        <v>55</v>
      </c>
      <c r="J4" s="8" t="s">
        <v>55</v>
      </c>
      <c r="K4" s="8" t="s">
        <v>55</v>
      </c>
      <c r="N4" s="5" t="s">
        <v>0</v>
      </c>
      <c r="O4" s="5" t="s">
        <v>35</v>
      </c>
      <c r="P4" s="5" t="s">
        <v>36</v>
      </c>
      <c r="Q4" s="6" t="s">
        <v>37</v>
      </c>
      <c r="R4" s="6" t="s">
        <v>38</v>
      </c>
      <c r="S4" s="26"/>
      <c r="T4" s="81" t="s">
        <v>47</v>
      </c>
      <c r="U4" s="82">
        <v>45566</v>
      </c>
    </row>
    <row r="5" spans="1:21" s="1" customFormat="1" ht="30" customHeight="1" x14ac:dyDescent="0.3">
      <c r="A5" s="41"/>
      <c r="B5" s="88">
        <v>3</v>
      </c>
      <c r="C5" s="80">
        <f t="shared" ref="C5:C68" si="0">WORKDAY($C$3,ROW()-3,$U$4:$U$33)</f>
        <v>45919</v>
      </c>
      <c r="D5" s="96" t="s">
        <v>60</v>
      </c>
      <c r="E5" s="96" t="s">
        <v>60</v>
      </c>
      <c r="F5" s="96" t="s">
        <v>60</v>
      </c>
      <c r="G5" s="96" t="s">
        <v>60</v>
      </c>
      <c r="H5" s="93"/>
      <c r="I5" s="8" t="s">
        <v>55</v>
      </c>
      <c r="J5" s="8" t="s">
        <v>55</v>
      </c>
      <c r="K5" s="8" t="s">
        <v>55</v>
      </c>
      <c r="N5" s="8" t="s">
        <v>54</v>
      </c>
      <c r="O5" s="8" t="s">
        <v>55</v>
      </c>
      <c r="P5" s="9">
        <v>40</v>
      </c>
      <c r="Q5" s="38">
        <f t="shared" ref="Q5:Q25" si="1">COUNTIF($D$3:$K$103,O5)</f>
        <v>40</v>
      </c>
      <c r="R5" s="39">
        <f t="shared" ref="R5:R25" si="2">Q5-P5</f>
        <v>0</v>
      </c>
      <c r="S5" s="26" t="s">
        <v>123</v>
      </c>
      <c r="T5" s="83" t="s">
        <v>41</v>
      </c>
      <c r="U5" s="82">
        <v>45574</v>
      </c>
    </row>
    <row r="6" spans="1:21" s="1" customFormat="1" ht="30" customHeight="1" x14ac:dyDescent="0.3">
      <c r="A6" s="41"/>
      <c r="B6" s="88">
        <v>4</v>
      </c>
      <c r="C6" s="80">
        <f t="shared" si="0"/>
        <v>45922</v>
      </c>
      <c r="D6" s="96" t="s">
        <v>60</v>
      </c>
      <c r="E6" s="96" t="s">
        <v>60</v>
      </c>
      <c r="F6" s="96" t="s">
        <v>60</v>
      </c>
      <c r="G6" s="96" t="s">
        <v>60</v>
      </c>
      <c r="H6" s="93"/>
      <c r="I6" s="8" t="s">
        <v>55</v>
      </c>
      <c r="J6" s="8" t="s">
        <v>55</v>
      </c>
      <c r="K6" s="8" t="s">
        <v>55</v>
      </c>
      <c r="N6" s="10" t="s">
        <v>54</v>
      </c>
      <c r="O6" s="10" t="s">
        <v>56</v>
      </c>
      <c r="P6" s="11">
        <v>40</v>
      </c>
      <c r="Q6" s="38">
        <f t="shared" si="1"/>
        <v>40</v>
      </c>
      <c r="R6" s="39">
        <f t="shared" si="2"/>
        <v>0</v>
      </c>
      <c r="S6" s="26" t="s">
        <v>123</v>
      </c>
      <c r="T6" s="83" t="s">
        <v>42</v>
      </c>
      <c r="U6" s="82">
        <v>45651</v>
      </c>
    </row>
    <row r="7" spans="1:21" s="1" customFormat="1" ht="30" customHeight="1" x14ac:dyDescent="0.3">
      <c r="A7" s="41"/>
      <c r="B7" s="88">
        <v>5</v>
      </c>
      <c r="C7" s="80">
        <f t="shared" si="0"/>
        <v>45923</v>
      </c>
      <c r="D7" s="96" t="s">
        <v>60</v>
      </c>
      <c r="E7" s="96" t="s">
        <v>60</v>
      </c>
      <c r="F7" s="96" t="s">
        <v>60</v>
      </c>
      <c r="G7" s="96" t="s">
        <v>60</v>
      </c>
      <c r="H7" s="93"/>
      <c r="I7" s="8" t="s">
        <v>55</v>
      </c>
      <c r="J7" s="8" t="s">
        <v>55</v>
      </c>
      <c r="K7" s="8" t="s">
        <v>55</v>
      </c>
      <c r="N7" s="43" t="s">
        <v>58</v>
      </c>
      <c r="O7" s="97" t="s">
        <v>59</v>
      </c>
      <c r="P7" s="12">
        <v>60</v>
      </c>
      <c r="Q7" s="38">
        <f t="shared" si="1"/>
        <v>60</v>
      </c>
      <c r="R7" s="39">
        <f t="shared" si="2"/>
        <v>0</v>
      </c>
      <c r="S7" s="26" t="s">
        <v>123</v>
      </c>
      <c r="T7" s="83" t="s">
        <v>43</v>
      </c>
      <c r="U7" s="82">
        <v>45658</v>
      </c>
    </row>
    <row r="8" spans="1:21" s="1" customFormat="1" ht="30" customHeight="1" x14ac:dyDescent="0.3">
      <c r="A8" s="41"/>
      <c r="B8" s="88">
        <v>6</v>
      </c>
      <c r="C8" s="80">
        <f t="shared" si="0"/>
        <v>45924</v>
      </c>
      <c r="D8" s="96" t="s">
        <v>60</v>
      </c>
      <c r="E8" s="96" t="s">
        <v>60</v>
      </c>
      <c r="F8" s="96" t="s">
        <v>60</v>
      </c>
      <c r="G8" s="96" t="s">
        <v>60</v>
      </c>
      <c r="H8" s="93"/>
      <c r="I8" s="8" t="s">
        <v>55</v>
      </c>
      <c r="J8" s="8" t="s">
        <v>55</v>
      </c>
      <c r="K8" s="8" t="s">
        <v>55</v>
      </c>
      <c r="N8" s="22" t="s">
        <v>57</v>
      </c>
      <c r="O8" s="96" t="s">
        <v>60</v>
      </c>
      <c r="P8" s="23">
        <v>60</v>
      </c>
      <c r="Q8" s="38">
        <f t="shared" si="1"/>
        <v>60</v>
      </c>
      <c r="R8" s="39">
        <f t="shared" si="2"/>
        <v>0</v>
      </c>
      <c r="S8" s="26" t="s">
        <v>123</v>
      </c>
      <c r="T8" s="83" t="s">
        <v>47</v>
      </c>
      <c r="U8" s="82">
        <v>45684</v>
      </c>
    </row>
    <row r="9" spans="1:21" s="1" customFormat="1" ht="30" customHeight="1" x14ac:dyDescent="0.3">
      <c r="A9" s="41"/>
      <c r="B9" s="88">
        <v>7</v>
      </c>
      <c r="C9" s="80">
        <f t="shared" si="0"/>
        <v>45925</v>
      </c>
      <c r="D9" s="96" t="s">
        <v>60</v>
      </c>
      <c r="E9" s="96" t="s">
        <v>60</v>
      </c>
      <c r="F9" s="96" t="s">
        <v>60</v>
      </c>
      <c r="G9" s="96" t="s">
        <v>60</v>
      </c>
      <c r="H9" s="8" t="s">
        <v>55</v>
      </c>
      <c r="I9" s="8" t="s">
        <v>55</v>
      </c>
      <c r="J9" s="8" t="s">
        <v>55</v>
      </c>
      <c r="K9" s="8" t="s">
        <v>55</v>
      </c>
      <c r="N9" s="13" t="s">
        <v>58</v>
      </c>
      <c r="O9" s="98" t="s">
        <v>61</v>
      </c>
      <c r="P9" s="14">
        <v>60</v>
      </c>
      <c r="Q9" s="38">
        <f t="shared" si="1"/>
        <v>60</v>
      </c>
      <c r="R9" s="39">
        <f t="shared" si="2"/>
        <v>0</v>
      </c>
      <c r="S9" s="26" t="s">
        <v>123</v>
      </c>
      <c r="T9" s="83" t="s">
        <v>44</v>
      </c>
      <c r="U9" s="82">
        <v>45685</v>
      </c>
    </row>
    <row r="10" spans="1:21" s="1" customFormat="1" ht="30" customHeight="1" x14ac:dyDescent="0.3">
      <c r="A10" s="41"/>
      <c r="B10" s="88">
        <v>8</v>
      </c>
      <c r="C10" s="80">
        <f t="shared" si="0"/>
        <v>45926</v>
      </c>
      <c r="D10" s="96" t="s">
        <v>60</v>
      </c>
      <c r="E10" s="96" t="s">
        <v>60</v>
      </c>
      <c r="F10" s="96" t="s">
        <v>60</v>
      </c>
      <c r="G10" s="96" t="s">
        <v>60</v>
      </c>
      <c r="H10" s="8" t="s">
        <v>55</v>
      </c>
      <c r="I10" s="8" t="s">
        <v>55</v>
      </c>
      <c r="J10" s="8" t="s">
        <v>55</v>
      </c>
      <c r="K10" s="8" t="s">
        <v>55</v>
      </c>
      <c r="N10" s="15" t="s">
        <v>70</v>
      </c>
      <c r="O10" s="15" t="s">
        <v>71</v>
      </c>
      <c r="P10" s="16">
        <v>40</v>
      </c>
      <c r="Q10" s="38">
        <f t="shared" si="1"/>
        <v>40</v>
      </c>
      <c r="R10" s="39">
        <f t="shared" si="2"/>
        <v>0</v>
      </c>
      <c r="S10" s="26" t="s">
        <v>123</v>
      </c>
      <c r="T10" s="83" t="s">
        <v>44</v>
      </c>
      <c r="U10" s="82">
        <v>45686</v>
      </c>
    </row>
    <row r="11" spans="1:21" s="1" customFormat="1" ht="30" customHeight="1" x14ac:dyDescent="0.3">
      <c r="A11" s="41"/>
      <c r="B11" s="88">
        <v>9</v>
      </c>
      <c r="C11" s="80">
        <f t="shared" si="0"/>
        <v>45929</v>
      </c>
      <c r="D11" s="96" t="s">
        <v>60</v>
      </c>
      <c r="E11" s="96" t="s">
        <v>60</v>
      </c>
      <c r="F11" s="96" t="s">
        <v>60</v>
      </c>
      <c r="G11" s="96" t="s">
        <v>60</v>
      </c>
      <c r="H11" s="8" t="s">
        <v>55</v>
      </c>
      <c r="I11" s="8" t="s">
        <v>55</v>
      </c>
      <c r="J11" s="8" t="s">
        <v>55</v>
      </c>
      <c r="K11" s="8" t="s">
        <v>55</v>
      </c>
      <c r="N11" s="28" t="s">
        <v>70</v>
      </c>
      <c r="O11" s="28" t="s">
        <v>72</v>
      </c>
      <c r="P11" s="29">
        <v>60</v>
      </c>
      <c r="Q11" s="38">
        <f t="shared" si="1"/>
        <v>60</v>
      </c>
      <c r="R11" s="39">
        <f t="shared" si="2"/>
        <v>0</v>
      </c>
      <c r="S11" s="26" t="s">
        <v>123</v>
      </c>
      <c r="T11" s="83" t="s">
        <v>44</v>
      </c>
      <c r="U11" s="82">
        <v>45687</v>
      </c>
    </row>
    <row r="12" spans="1:21" s="1" customFormat="1" ht="30" customHeight="1" x14ac:dyDescent="0.3">
      <c r="A12" s="41"/>
      <c r="B12" s="88">
        <v>10</v>
      </c>
      <c r="C12" s="80">
        <f t="shared" si="0"/>
        <v>45930</v>
      </c>
      <c r="D12" s="96" t="s">
        <v>60</v>
      </c>
      <c r="E12" s="96" t="s">
        <v>60</v>
      </c>
      <c r="F12" s="96" t="s">
        <v>60</v>
      </c>
      <c r="G12" s="96" t="s">
        <v>60</v>
      </c>
      <c r="H12" s="8" t="s">
        <v>55</v>
      </c>
      <c r="I12" s="8" t="s">
        <v>55</v>
      </c>
      <c r="J12" s="8" t="s">
        <v>55</v>
      </c>
      <c r="K12" s="8" t="s">
        <v>55</v>
      </c>
      <c r="N12" s="17" t="s">
        <v>70</v>
      </c>
      <c r="O12" s="17" t="s">
        <v>73</v>
      </c>
      <c r="P12" s="18">
        <v>60</v>
      </c>
      <c r="Q12" s="38">
        <f t="shared" si="1"/>
        <v>60</v>
      </c>
      <c r="R12" s="39">
        <f t="shared" si="2"/>
        <v>0</v>
      </c>
      <c r="S12" s="26" t="s">
        <v>123</v>
      </c>
      <c r="T12" s="83" t="s">
        <v>45</v>
      </c>
      <c r="U12" s="82">
        <v>45717</v>
      </c>
    </row>
    <row r="13" spans="1:21" s="1" customFormat="1" ht="30" customHeight="1" x14ac:dyDescent="0.3">
      <c r="A13" s="41"/>
      <c r="B13" s="88">
        <v>11</v>
      </c>
      <c r="C13" s="80">
        <f t="shared" si="0"/>
        <v>45931</v>
      </c>
      <c r="D13" s="96" t="s">
        <v>60</v>
      </c>
      <c r="E13" s="96" t="s">
        <v>60</v>
      </c>
      <c r="F13" s="96" t="s">
        <v>60</v>
      </c>
      <c r="G13" s="96" t="s">
        <v>60</v>
      </c>
      <c r="H13" s="8" t="s">
        <v>55</v>
      </c>
      <c r="I13" s="8" t="s">
        <v>55</v>
      </c>
      <c r="J13" s="8" t="s">
        <v>55</v>
      </c>
      <c r="K13" s="10" t="s">
        <v>56</v>
      </c>
      <c r="N13" s="15" t="s">
        <v>62</v>
      </c>
      <c r="O13" s="15" t="s">
        <v>63</v>
      </c>
      <c r="P13" s="16">
        <v>60</v>
      </c>
      <c r="Q13" s="38">
        <f t="shared" si="1"/>
        <v>60</v>
      </c>
      <c r="R13" s="39">
        <f t="shared" si="2"/>
        <v>0</v>
      </c>
      <c r="S13" s="26" t="s">
        <v>123</v>
      </c>
      <c r="T13" s="83" t="s">
        <v>46</v>
      </c>
      <c r="U13" s="82">
        <v>45719</v>
      </c>
    </row>
    <row r="14" spans="1:21" s="1" customFormat="1" ht="30" customHeight="1" x14ac:dyDescent="0.3">
      <c r="A14" s="41"/>
      <c r="B14" s="88">
        <v>12</v>
      </c>
      <c r="C14" s="80">
        <f t="shared" si="0"/>
        <v>45932</v>
      </c>
      <c r="D14" s="10" t="s">
        <v>56</v>
      </c>
      <c r="E14" s="10" t="s">
        <v>56</v>
      </c>
      <c r="F14" s="10" t="s">
        <v>56</v>
      </c>
      <c r="G14" s="10" t="s">
        <v>56</v>
      </c>
      <c r="H14" s="10" t="s">
        <v>56</v>
      </c>
      <c r="I14" s="10" t="s">
        <v>56</v>
      </c>
      <c r="J14" s="10" t="s">
        <v>56</v>
      </c>
      <c r="K14" s="10" t="s">
        <v>56</v>
      </c>
      <c r="N14" s="28" t="s">
        <v>62</v>
      </c>
      <c r="O14" s="28" t="s">
        <v>64</v>
      </c>
      <c r="P14" s="29">
        <v>40</v>
      </c>
      <c r="Q14" s="38">
        <f t="shared" si="1"/>
        <v>40</v>
      </c>
      <c r="R14" s="39">
        <f t="shared" si="2"/>
        <v>0</v>
      </c>
      <c r="S14" s="26" t="s">
        <v>123</v>
      </c>
      <c r="T14" s="83" t="s">
        <v>53</v>
      </c>
      <c r="U14" s="82">
        <v>45811</v>
      </c>
    </row>
    <row r="15" spans="1:21" s="1" customFormat="1" ht="30" customHeight="1" x14ac:dyDescent="0.3">
      <c r="A15" s="41"/>
      <c r="B15" s="88">
        <v>13</v>
      </c>
      <c r="C15" s="80">
        <f t="shared" si="0"/>
        <v>45940</v>
      </c>
      <c r="D15" s="96" t="s">
        <v>60</v>
      </c>
      <c r="E15" s="96" t="s">
        <v>60</v>
      </c>
      <c r="F15" s="96" t="s">
        <v>60</v>
      </c>
      <c r="G15" s="96" t="s">
        <v>60</v>
      </c>
      <c r="H15" s="10" t="s">
        <v>56</v>
      </c>
      <c r="I15" s="10" t="s">
        <v>56</v>
      </c>
      <c r="J15" s="10" t="s">
        <v>56</v>
      </c>
      <c r="K15" s="10" t="s">
        <v>56</v>
      </c>
      <c r="N15" s="17" t="s">
        <v>62</v>
      </c>
      <c r="O15" s="17" t="s">
        <v>65</v>
      </c>
      <c r="P15" s="18">
        <v>60</v>
      </c>
      <c r="Q15" s="38">
        <f t="shared" si="1"/>
        <v>60</v>
      </c>
      <c r="R15" s="39">
        <f t="shared" si="2"/>
        <v>0</v>
      </c>
      <c r="S15" s="26" t="s">
        <v>123</v>
      </c>
      <c r="T15" s="83" t="s">
        <v>48</v>
      </c>
      <c r="U15" s="82">
        <v>45782</v>
      </c>
    </row>
    <row r="16" spans="1:21" s="1" customFormat="1" ht="30" customHeight="1" x14ac:dyDescent="0.3">
      <c r="A16" s="41"/>
      <c r="B16" s="88">
        <v>14</v>
      </c>
      <c r="C16" s="80">
        <f t="shared" si="0"/>
        <v>45943</v>
      </c>
      <c r="D16" s="96" t="s">
        <v>60</v>
      </c>
      <c r="E16" s="96" t="s">
        <v>60</v>
      </c>
      <c r="F16" s="96" t="s">
        <v>60</v>
      </c>
      <c r="G16" s="96" t="s">
        <v>60</v>
      </c>
      <c r="H16" s="10" t="s">
        <v>56</v>
      </c>
      <c r="I16" s="10" t="s">
        <v>56</v>
      </c>
      <c r="J16" s="10" t="s">
        <v>56</v>
      </c>
      <c r="K16" s="10" t="s">
        <v>56</v>
      </c>
      <c r="N16" s="24" t="s">
        <v>66</v>
      </c>
      <c r="O16" s="105" t="s">
        <v>67</v>
      </c>
      <c r="P16" s="25">
        <v>60</v>
      </c>
      <c r="Q16" s="38">
        <f t="shared" si="1"/>
        <v>60</v>
      </c>
      <c r="R16" s="39">
        <f t="shared" si="2"/>
        <v>0</v>
      </c>
      <c r="S16" s="26" t="s">
        <v>123</v>
      </c>
      <c r="T16" s="83" t="s">
        <v>49</v>
      </c>
      <c r="U16" s="82">
        <v>45783</v>
      </c>
    </row>
    <row r="17" spans="1:21" s="1" customFormat="1" ht="30" customHeight="1" x14ac:dyDescent="0.3">
      <c r="A17" s="41"/>
      <c r="B17" s="88">
        <v>15</v>
      </c>
      <c r="C17" s="80">
        <f t="shared" si="0"/>
        <v>45944</v>
      </c>
      <c r="D17" s="96" t="s">
        <v>60</v>
      </c>
      <c r="E17" s="96" t="s">
        <v>60</v>
      </c>
      <c r="F17" s="96" t="s">
        <v>60</v>
      </c>
      <c r="G17" s="96" t="s">
        <v>60</v>
      </c>
      <c r="H17" s="10" t="s">
        <v>56</v>
      </c>
      <c r="I17" s="10" t="s">
        <v>56</v>
      </c>
      <c r="J17" s="10" t="s">
        <v>56</v>
      </c>
      <c r="K17" s="10" t="s">
        <v>56</v>
      </c>
      <c r="N17" s="32" t="s">
        <v>66</v>
      </c>
      <c r="O17" s="32" t="s">
        <v>68</v>
      </c>
      <c r="P17" s="33">
        <v>80</v>
      </c>
      <c r="Q17" s="38">
        <f t="shared" si="1"/>
        <v>80</v>
      </c>
      <c r="R17" s="39">
        <f t="shared" si="2"/>
        <v>0</v>
      </c>
      <c r="S17" s="26" t="s">
        <v>123</v>
      </c>
      <c r="T17" s="83" t="s">
        <v>50</v>
      </c>
      <c r="U17" s="82">
        <v>45814</v>
      </c>
    </row>
    <row r="18" spans="1:21" s="1" customFormat="1" ht="30" customHeight="1" x14ac:dyDescent="0.3">
      <c r="A18" s="41"/>
      <c r="B18" s="88">
        <v>16</v>
      </c>
      <c r="C18" s="80">
        <f t="shared" si="0"/>
        <v>45945</v>
      </c>
      <c r="D18" s="96" t="s">
        <v>60</v>
      </c>
      <c r="E18" s="96" t="s">
        <v>60</v>
      </c>
      <c r="F18" s="96" t="s">
        <v>60</v>
      </c>
      <c r="G18" s="96" t="s">
        <v>60</v>
      </c>
      <c r="H18" s="10" t="s">
        <v>56</v>
      </c>
      <c r="I18" s="10" t="s">
        <v>56</v>
      </c>
      <c r="J18" s="10" t="s">
        <v>56</v>
      </c>
      <c r="K18" s="10" t="s">
        <v>56</v>
      </c>
      <c r="N18" s="30" t="s">
        <v>69</v>
      </c>
      <c r="O18" s="30" t="s">
        <v>69</v>
      </c>
      <c r="P18" s="31">
        <v>75</v>
      </c>
      <c r="Q18" s="38">
        <f t="shared" si="1"/>
        <v>75</v>
      </c>
      <c r="R18" s="39">
        <f t="shared" si="2"/>
        <v>0</v>
      </c>
      <c r="S18" s="26" t="s">
        <v>123</v>
      </c>
      <c r="T18" s="81" t="s">
        <v>51</v>
      </c>
      <c r="U18" s="82">
        <v>45868</v>
      </c>
    </row>
    <row r="19" spans="1:21" s="1" customFormat="1" ht="30" customHeight="1" x14ac:dyDescent="0.3">
      <c r="A19" s="41"/>
      <c r="B19" s="88">
        <v>17</v>
      </c>
      <c r="C19" s="80">
        <f t="shared" si="0"/>
        <v>45946</v>
      </c>
      <c r="D19" s="96" t="s">
        <v>60</v>
      </c>
      <c r="E19" s="96" t="s">
        <v>60</v>
      </c>
      <c r="F19" s="96" t="s">
        <v>60</v>
      </c>
      <c r="G19" s="96" t="s">
        <v>60</v>
      </c>
      <c r="H19" s="10" t="s">
        <v>56</v>
      </c>
      <c r="I19" s="10" t="s">
        <v>56</v>
      </c>
      <c r="J19" s="10" t="s">
        <v>56</v>
      </c>
      <c r="K19" s="10" t="s">
        <v>56</v>
      </c>
      <c r="L19" s="42"/>
      <c r="N19" s="44" t="s">
        <v>30</v>
      </c>
      <c r="O19" s="44" t="s">
        <v>30</v>
      </c>
      <c r="P19" s="21">
        <v>5</v>
      </c>
      <c r="Q19" s="38">
        <f t="shared" si="1"/>
        <v>5</v>
      </c>
      <c r="R19" s="39">
        <f t="shared" si="2"/>
        <v>0</v>
      </c>
      <c r="S19" s="26" t="s">
        <v>123</v>
      </c>
      <c r="T19" s="81" t="s">
        <v>51</v>
      </c>
      <c r="U19" s="82">
        <v>45869</v>
      </c>
    </row>
    <row r="20" spans="1:21" s="1" customFormat="1" ht="30" customHeight="1" x14ac:dyDescent="0.3">
      <c r="A20" s="41"/>
      <c r="B20" s="88">
        <v>18</v>
      </c>
      <c r="C20" s="80">
        <f t="shared" si="0"/>
        <v>45947</v>
      </c>
      <c r="D20" s="97" t="s">
        <v>59</v>
      </c>
      <c r="E20" s="97" t="s">
        <v>59</v>
      </c>
      <c r="F20" s="97" t="s">
        <v>59</v>
      </c>
      <c r="G20" s="97" t="s">
        <v>59</v>
      </c>
      <c r="H20" s="10" t="s">
        <v>56</v>
      </c>
      <c r="I20" s="10" t="s">
        <v>56</v>
      </c>
      <c r="J20" s="10" t="s">
        <v>56</v>
      </c>
      <c r="K20" s="10" t="s">
        <v>56</v>
      </c>
      <c r="N20" s="48"/>
      <c r="O20" s="48"/>
      <c r="P20" s="49"/>
      <c r="Q20" s="38">
        <f t="shared" si="1"/>
        <v>0</v>
      </c>
      <c r="R20" s="39">
        <f t="shared" si="2"/>
        <v>0</v>
      </c>
      <c r="S20" s="26"/>
      <c r="T20" s="81" t="s">
        <v>51</v>
      </c>
      <c r="U20" s="82">
        <v>45870</v>
      </c>
    </row>
    <row r="21" spans="1:21" s="1" customFormat="1" ht="30" customHeight="1" x14ac:dyDescent="0.3">
      <c r="A21" s="41"/>
      <c r="B21" s="88">
        <v>19</v>
      </c>
      <c r="C21" s="80">
        <f t="shared" si="0"/>
        <v>45950</v>
      </c>
      <c r="D21" s="97" t="s">
        <v>59</v>
      </c>
      <c r="E21" s="97" t="s">
        <v>59</v>
      </c>
      <c r="F21" s="97" t="s">
        <v>59</v>
      </c>
      <c r="G21" s="97" t="s">
        <v>59</v>
      </c>
      <c r="H21" s="97" t="s">
        <v>59</v>
      </c>
      <c r="I21" s="97" t="s">
        <v>59</v>
      </c>
      <c r="J21" s="97" t="s">
        <v>59</v>
      </c>
      <c r="K21" s="97" t="s">
        <v>59</v>
      </c>
      <c r="N21" s="50"/>
      <c r="O21" s="50"/>
      <c r="P21" s="51"/>
      <c r="Q21" s="38">
        <f t="shared" si="1"/>
        <v>0</v>
      </c>
      <c r="R21" s="39">
        <f t="shared" si="2"/>
        <v>0</v>
      </c>
      <c r="S21" s="26"/>
      <c r="T21" s="81" t="s">
        <v>52</v>
      </c>
      <c r="U21" s="82">
        <v>45884</v>
      </c>
    </row>
    <row r="22" spans="1:21" s="1" customFormat="1" ht="30" customHeight="1" x14ac:dyDescent="0.3">
      <c r="A22" s="41"/>
      <c r="B22" s="88">
        <v>20</v>
      </c>
      <c r="C22" s="80">
        <f t="shared" si="0"/>
        <v>45951</v>
      </c>
      <c r="D22" s="97" t="s">
        <v>59</v>
      </c>
      <c r="E22" s="97" t="s">
        <v>59</v>
      </c>
      <c r="F22" s="97" t="s">
        <v>59</v>
      </c>
      <c r="G22" s="97" t="s">
        <v>59</v>
      </c>
      <c r="H22" s="10" t="s">
        <v>56</v>
      </c>
      <c r="I22" s="10" t="s">
        <v>56</v>
      </c>
      <c r="J22" s="10" t="s">
        <v>56</v>
      </c>
      <c r="K22" s="10" t="s">
        <v>56</v>
      </c>
      <c r="N22" s="52"/>
      <c r="O22" s="52"/>
      <c r="P22" s="53"/>
      <c r="Q22" s="38">
        <f t="shared" si="1"/>
        <v>0</v>
      </c>
      <c r="R22" s="39">
        <f t="shared" si="2"/>
        <v>0</v>
      </c>
      <c r="S22" s="26"/>
      <c r="T22" s="81" t="s">
        <v>74</v>
      </c>
      <c r="U22" s="82">
        <v>45933</v>
      </c>
    </row>
    <row r="23" spans="1:21" s="1" customFormat="1" ht="30" customHeight="1" x14ac:dyDescent="0.3">
      <c r="A23" s="41"/>
      <c r="B23" s="88">
        <v>21</v>
      </c>
      <c r="C23" s="80">
        <f t="shared" si="0"/>
        <v>45952</v>
      </c>
      <c r="D23" s="97" t="s">
        <v>59</v>
      </c>
      <c r="E23" s="97" t="s">
        <v>59</v>
      </c>
      <c r="F23" s="97" t="s">
        <v>59</v>
      </c>
      <c r="G23" s="97" t="s">
        <v>59</v>
      </c>
      <c r="H23" s="10" t="s">
        <v>56</v>
      </c>
      <c r="I23" s="10" t="s">
        <v>56</v>
      </c>
      <c r="J23" s="10" t="s">
        <v>56</v>
      </c>
      <c r="K23" s="28" t="s">
        <v>72</v>
      </c>
      <c r="N23" s="54"/>
      <c r="O23" s="54"/>
      <c r="P23" s="55"/>
      <c r="Q23" s="38">
        <f t="shared" si="1"/>
        <v>0</v>
      </c>
      <c r="R23" s="39">
        <f t="shared" si="2"/>
        <v>0</v>
      </c>
      <c r="S23" s="26"/>
      <c r="T23" s="81" t="s">
        <v>75</v>
      </c>
      <c r="U23" s="82">
        <v>45936</v>
      </c>
    </row>
    <row r="24" spans="1:21" s="1" customFormat="1" ht="30" customHeight="1" x14ac:dyDescent="0.3">
      <c r="A24" s="41"/>
      <c r="B24" s="88">
        <v>22</v>
      </c>
      <c r="C24" s="80">
        <f t="shared" si="0"/>
        <v>45953</v>
      </c>
      <c r="D24" s="97" t="s">
        <v>59</v>
      </c>
      <c r="E24" s="97" t="s">
        <v>59</v>
      </c>
      <c r="F24" s="97" t="s">
        <v>59</v>
      </c>
      <c r="G24" s="97" t="s">
        <v>59</v>
      </c>
      <c r="H24" s="28" t="s">
        <v>72</v>
      </c>
      <c r="I24" s="28" t="s">
        <v>72</v>
      </c>
      <c r="J24" s="28" t="s">
        <v>72</v>
      </c>
      <c r="K24" s="28" t="s">
        <v>72</v>
      </c>
      <c r="N24" s="56"/>
      <c r="O24" s="56"/>
      <c r="P24" s="57"/>
      <c r="Q24" s="38">
        <f t="shared" si="1"/>
        <v>0</v>
      </c>
      <c r="R24" s="39">
        <f t="shared" si="2"/>
        <v>0</v>
      </c>
      <c r="S24" s="26"/>
      <c r="T24" s="81" t="s">
        <v>76</v>
      </c>
      <c r="U24" s="82">
        <v>45937</v>
      </c>
    </row>
    <row r="25" spans="1:21" s="1" customFormat="1" ht="30" customHeight="1" x14ac:dyDescent="0.3">
      <c r="A25" s="41"/>
      <c r="B25" s="88">
        <v>23</v>
      </c>
      <c r="C25" s="80">
        <f t="shared" si="0"/>
        <v>45954</v>
      </c>
      <c r="D25" s="97" t="s">
        <v>59</v>
      </c>
      <c r="E25" s="97" t="s">
        <v>59</v>
      </c>
      <c r="F25" s="97" t="s">
        <v>59</v>
      </c>
      <c r="G25" s="97" t="s">
        <v>59</v>
      </c>
      <c r="H25" s="28" t="s">
        <v>72</v>
      </c>
      <c r="I25" s="28" t="s">
        <v>72</v>
      </c>
      <c r="J25" s="28" t="s">
        <v>72</v>
      </c>
      <c r="K25" s="28" t="s">
        <v>72</v>
      </c>
      <c r="N25" s="19"/>
      <c r="O25" s="19"/>
      <c r="P25" s="20"/>
      <c r="Q25" s="38">
        <f t="shared" si="1"/>
        <v>0</v>
      </c>
      <c r="R25" s="39">
        <f t="shared" si="2"/>
        <v>0</v>
      </c>
      <c r="S25" s="26"/>
      <c r="T25" s="81" t="s">
        <v>77</v>
      </c>
      <c r="U25" s="82">
        <v>45938</v>
      </c>
    </row>
    <row r="26" spans="1:21" s="1" customFormat="1" ht="30" customHeight="1" x14ac:dyDescent="0.3">
      <c r="A26" s="41"/>
      <c r="B26" s="88">
        <v>24</v>
      </c>
      <c r="C26" s="80">
        <f t="shared" si="0"/>
        <v>45957</v>
      </c>
      <c r="D26" s="97" t="s">
        <v>59</v>
      </c>
      <c r="E26" s="97" t="s">
        <v>59</v>
      </c>
      <c r="F26" s="97" t="s">
        <v>59</v>
      </c>
      <c r="G26" s="97" t="s">
        <v>59</v>
      </c>
      <c r="H26" s="28" t="s">
        <v>72</v>
      </c>
      <c r="I26" s="28" t="s">
        <v>72</v>
      </c>
      <c r="J26" s="28" t="s">
        <v>72</v>
      </c>
      <c r="K26" s="28" t="s">
        <v>72</v>
      </c>
      <c r="N26" s="3"/>
      <c r="O26" s="36"/>
      <c r="P26" s="37"/>
      <c r="Q26" s="34"/>
      <c r="R26" s="35"/>
      <c r="S26" s="26"/>
      <c r="T26" s="81" t="s">
        <v>78</v>
      </c>
      <c r="U26" s="82">
        <v>45939</v>
      </c>
    </row>
    <row r="27" spans="1:21" s="1" customFormat="1" ht="30" customHeight="1" x14ac:dyDescent="0.3">
      <c r="A27" s="41"/>
      <c r="B27" s="88">
        <v>25</v>
      </c>
      <c r="C27" s="80">
        <f t="shared" si="0"/>
        <v>45958</v>
      </c>
      <c r="D27" s="97" t="s">
        <v>59</v>
      </c>
      <c r="E27" s="97" t="s">
        <v>59</v>
      </c>
      <c r="F27" s="97" t="s">
        <v>59</v>
      </c>
      <c r="G27" s="97" t="s">
        <v>59</v>
      </c>
      <c r="H27" s="28" t="s">
        <v>72</v>
      </c>
      <c r="I27" s="28" t="s">
        <v>72</v>
      </c>
      <c r="J27" s="28" t="s">
        <v>72</v>
      </c>
      <c r="K27" s="28" t="s">
        <v>72</v>
      </c>
      <c r="N27" s="3"/>
      <c r="O27" s="3"/>
      <c r="P27" s="40">
        <f>SUM(P5:P26)</f>
        <v>800</v>
      </c>
      <c r="Q27" s="40">
        <f>SUM(Q5:Q26)</f>
        <v>800</v>
      </c>
      <c r="S27" s="26"/>
      <c r="T27" s="81" t="s">
        <v>79</v>
      </c>
      <c r="U27" s="82">
        <v>46016</v>
      </c>
    </row>
    <row r="28" spans="1:21" s="1" customFormat="1" ht="30" customHeight="1" x14ac:dyDescent="0.3">
      <c r="A28" s="41"/>
      <c r="B28" s="88">
        <v>26</v>
      </c>
      <c r="C28" s="80">
        <f t="shared" si="0"/>
        <v>45959</v>
      </c>
      <c r="D28" s="97" t="s">
        <v>59</v>
      </c>
      <c r="E28" s="97" t="s">
        <v>59</v>
      </c>
      <c r="F28" s="97" t="s">
        <v>59</v>
      </c>
      <c r="G28" s="97" t="s">
        <v>59</v>
      </c>
      <c r="H28" s="28" t="s">
        <v>72</v>
      </c>
      <c r="I28" s="28" t="s">
        <v>72</v>
      </c>
      <c r="J28" s="28" t="s">
        <v>72</v>
      </c>
      <c r="K28" s="28" t="s">
        <v>72</v>
      </c>
      <c r="S28" s="26"/>
      <c r="T28" s="81" t="s">
        <v>80</v>
      </c>
      <c r="U28" s="82">
        <v>46023</v>
      </c>
    </row>
    <row r="29" spans="1:21" s="1" customFormat="1" ht="30" customHeight="1" x14ac:dyDescent="0.3">
      <c r="A29" s="41"/>
      <c r="B29" s="88">
        <v>27</v>
      </c>
      <c r="C29" s="80">
        <f t="shared" si="0"/>
        <v>45960</v>
      </c>
      <c r="D29" s="97" t="s">
        <v>59</v>
      </c>
      <c r="E29" s="97" t="s">
        <v>59</v>
      </c>
      <c r="F29" s="97" t="s">
        <v>59</v>
      </c>
      <c r="G29" s="97" t="s">
        <v>59</v>
      </c>
      <c r="H29" s="28" t="s">
        <v>72</v>
      </c>
      <c r="I29" s="28" t="s">
        <v>72</v>
      </c>
      <c r="J29" s="28" t="s">
        <v>72</v>
      </c>
      <c r="K29" s="28" t="s">
        <v>72</v>
      </c>
      <c r="P29" s="26" t="s">
        <v>84</v>
      </c>
      <c r="Q29" s="26">
        <f>COUNTA(D15:G23,D24:F24,D4:G13,F32:I39,D33:E39,D40:G40,D42:G50,D52:G60,D62:G66,D67:F67)</f>
        <v>224</v>
      </c>
      <c r="S29" s="26"/>
      <c r="T29" s="81" t="s">
        <v>81</v>
      </c>
      <c r="U29" s="82">
        <v>46069</v>
      </c>
    </row>
    <row r="30" spans="1:21" s="1" customFormat="1" ht="30" customHeight="1" x14ac:dyDescent="0.3">
      <c r="A30" s="41"/>
      <c r="B30" s="88">
        <v>28</v>
      </c>
      <c r="C30" s="80">
        <f t="shared" si="0"/>
        <v>45961</v>
      </c>
      <c r="D30" s="97" t="s">
        <v>59</v>
      </c>
      <c r="E30" s="97" t="s">
        <v>59</v>
      </c>
      <c r="F30" s="97" t="s">
        <v>59</v>
      </c>
      <c r="G30" s="97" t="s">
        <v>59</v>
      </c>
      <c r="H30" s="28" t="s">
        <v>72</v>
      </c>
      <c r="I30" s="28" t="s">
        <v>72</v>
      </c>
      <c r="J30" s="28" t="s">
        <v>72</v>
      </c>
      <c r="K30" s="28" t="s">
        <v>72</v>
      </c>
      <c r="P30" s="58"/>
      <c r="Q30" s="58"/>
      <c r="S30" s="26"/>
      <c r="T30" s="81" t="s">
        <v>82</v>
      </c>
      <c r="U30" s="82">
        <v>46070</v>
      </c>
    </row>
    <row r="31" spans="1:21" s="1" customFormat="1" ht="30" customHeight="1" x14ac:dyDescent="0.3">
      <c r="A31" s="41"/>
      <c r="B31" s="88">
        <v>29</v>
      </c>
      <c r="C31" s="80">
        <f t="shared" si="0"/>
        <v>45964</v>
      </c>
      <c r="D31" s="97" t="s">
        <v>59</v>
      </c>
      <c r="E31" s="97" t="s">
        <v>59</v>
      </c>
      <c r="F31" s="97" t="s">
        <v>59</v>
      </c>
      <c r="G31" s="97" t="s">
        <v>59</v>
      </c>
      <c r="H31" s="28" t="s">
        <v>72</v>
      </c>
      <c r="I31" s="28" t="s">
        <v>72</v>
      </c>
      <c r="J31" s="28" t="s">
        <v>72</v>
      </c>
      <c r="K31" s="28" t="s">
        <v>72</v>
      </c>
      <c r="P31" s="3"/>
      <c r="S31" s="26"/>
      <c r="T31" s="81" t="s">
        <v>83</v>
      </c>
      <c r="U31" s="82">
        <v>46071</v>
      </c>
    </row>
    <row r="32" spans="1:21" s="1" customFormat="1" ht="30" customHeight="1" x14ac:dyDescent="0.3">
      <c r="A32" s="41"/>
      <c r="B32" s="88">
        <v>30</v>
      </c>
      <c r="C32" s="80">
        <f t="shared" si="0"/>
        <v>45965</v>
      </c>
      <c r="D32" s="97" t="s">
        <v>59</v>
      </c>
      <c r="E32" s="97" t="s">
        <v>59</v>
      </c>
      <c r="F32" s="97" t="s">
        <v>59</v>
      </c>
      <c r="G32" s="97" t="s">
        <v>59</v>
      </c>
      <c r="H32" s="28" t="s">
        <v>72</v>
      </c>
      <c r="I32" s="28" t="s">
        <v>72</v>
      </c>
      <c r="J32" s="28" t="s">
        <v>72</v>
      </c>
      <c r="K32" s="28" t="s">
        <v>72</v>
      </c>
      <c r="S32" s="26"/>
      <c r="T32" s="81"/>
      <c r="U32" s="82"/>
    </row>
    <row r="33" spans="1:19" s="1" customFormat="1" ht="30" customHeight="1" x14ac:dyDescent="0.3">
      <c r="A33" s="41"/>
      <c r="B33" s="88">
        <v>31</v>
      </c>
      <c r="C33" s="80">
        <f t="shared" si="0"/>
        <v>45966</v>
      </c>
      <c r="D33" s="97" t="s">
        <v>59</v>
      </c>
      <c r="E33" s="97" t="s">
        <v>59</v>
      </c>
      <c r="F33" s="97" t="s">
        <v>59</v>
      </c>
      <c r="G33" s="97" t="s">
        <v>59</v>
      </c>
      <c r="H33" s="28" t="s">
        <v>72</v>
      </c>
      <c r="I33" s="28" t="s">
        <v>72</v>
      </c>
      <c r="J33" s="28" t="s">
        <v>72</v>
      </c>
      <c r="K33" s="28" t="s">
        <v>72</v>
      </c>
      <c r="P33" s="3"/>
      <c r="S33" s="26"/>
    </row>
    <row r="34" spans="1:19" s="1" customFormat="1" ht="30" customHeight="1" x14ac:dyDescent="0.3">
      <c r="A34" s="41"/>
      <c r="B34" s="88">
        <v>32</v>
      </c>
      <c r="C34" s="80">
        <f t="shared" si="0"/>
        <v>45967</v>
      </c>
      <c r="D34" s="98" t="s">
        <v>61</v>
      </c>
      <c r="E34" s="98" t="s">
        <v>61</v>
      </c>
      <c r="F34" s="98" t="s">
        <v>61</v>
      </c>
      <c r="G34" s="98" t="s">
        <v>61</v>
      </c>
      <c r="H34" s="28" t="s">
        <v>72</v>
      </c>
      <c r="I34" s="28" t="s">
        <v>72</v>
      </c>
      <c r="J34" s="28" t="s">
        <v>72</v>
      </c>
      <c r="K34" s="28" t="s">
        <v>72</v>
      </c>
      <c r="S34" s="26"/>
    </row>
    <row r="35" spans="1:19" s="1" customFormat="1" ht="30" customHeight="1" x14ac:dyDescent="0.3">
      <c r="A35" s="41"/>
      <c r="B35" s="88">
        <v>33</v>
      </c>
      <c r="C35" s="80">
        <f t="shared" si="0"/>
        <v>45968</v>
      </c>
      <c r="D35" s="98" t="s">
        <v>61</v>
      </c>
      <c r="E35" s="98" t="s">
        <v>61</v>
      </c>
      <c r="F35" s="98" t="s">
        <v>61</v>
      </c>
      <c r="G35" s="98" t="s">
        <v>61</v>
      </c>
      <c r="H35" s="28" t="s">
        <v>72</v>
      </c>
      <c r="I35" s="28" t="s">
        <v>72</v>
      </c>
      <c r="J35" s="28" t="s">
        <v>72</v>
      </c>
      <c r="K35" s="28" t="s">
        <v>72</v>
      </c>
    </row>
    <row r="36" spans="1:19" s="1" customFormat="1" ht="30" customHeight="1" x14ac:dyDescent="0.3">
      <c r="A36" s="41"/>
      <c r="B36" s="88">
        <v>34</v>
      </c>
      <c r="C36" s="80">
        <f t="shared" si="0"/>
        <v>45971</v>
      </c>
      <c r="D36" s="98" t="s">
        <v>61</v>
      </c>
      <c r="E36" s="98" t="s">
        <v>61</v>
      </c>
      <c r="F36" s="98" t="s">
        <v>61</v>
      </c>
      <c r="G36" s="98" t="s">
        <v>61</v>
      </c>
      <c r="H36" s="28" t="s">
        <v>72</v>
      </c>
      <c r="I36" s="28" t="s">
        <v>72</v>
      </c>
      <c r="J36" s="28" t="s">
        <v>72</v>
      </c>
      <c r="K36" s="28" t="s">
        <v>72</v>
      </c>
      <c r="N36" s="3"/>
      <c r="O36" s="3"/>
      <c r="P36" s="3"/>
      <c r="S36" s="26"/>
    </row>
    <row r="37" spans="1:19" s="1" customFormat="1" ht="30" customHeight="1" x14ac:dyDescent="0.3">
      <c r="A37" s="41"/>
      <c r="B37" s="88">
        <v>35</v>
      </c>
      <c r="C37" s="80">
        <f t="shared" si="0"/>
        <v>45972</v>
      </c>
      <c r="D37" s="98" t="s">
        <v>61</v>
      </c>
      <c r="E37" s="98" t="s">
        <v>61</v>
      </c>
      <c r="F37" s="98" t="s">
        <v>61</v>
      </c>
      <c r="G37" s="98" t="s">
        <v>61</v>
      </c>
      <c r="H37" s="28" t="s">
        <v>72</v>
      </c>
      <c r="I37" s="28" t="s">
        <v>72</v>
      </c>
      <c r="J37" s="28" t="s">
        <v>72</v>
      </c>
      <c r="K37" s="28" t="s">
        <v>72</v>
      </c>
    </row>
    <row r="38" spans="1:19" s="1" customFormat="1" ht="30" customHeight="1" x14ac:dyDescent="0.3">
      <c r="A38" s="41"/>
      <c r="B38" s="88">
        <v>36</v>
      </c>
      <c r="C38" s="80">
        <f t="shared" si="0"/>
        <v>45973</v>
      </c>
      <c r="D38" s="98" t="s">
        <v>61</v>
      </c>
      <c r="E38" s="98" t="s">
        <v>61</v>
      </c>
      <c r="F38" s="98" t="s">
        <v>61</v>
      </c>
      <c r="G38" s="98" t="s">
        <v>61</v>
      </c>
      <c r="H38" s="28" t="s">
        <v>72</v>
      </c>
      <c r="I38" s="28" t="s">
        <v>72</v>
      </c>
      <c r="J38" s="28" t="s">
        <v>72</v>
      </c>
      <c r="K38" s="17" t="s">
        <v>73</v>
      </c>
      <c r="N38" s="3"/>
      <c r="O38" s="3"/>
      <c r="P38" s="3"/>
      <c r="S38" s="26"/>
    </row>
    <row r="39" spans="1:19" s="1" customFormat="1" ht="30" customHeight="1" x14ac:dyDescent="0.3">
      <c r="A39" s="41"/>
      <c r="B39" s="88">
        <v>37</v>
      </c>
      <c r="C39" s="80">
        <f t="shared" si="0"/>
        <v>45974</v>
      </c>
      <c r="D39" s="98" t="s">
        <v>61</v>
      </c>
      <c r="E39" s="98" t="s">
        <v>61</v>
      </c>
      <c r="F39" s="98" t="s">
        <v>61</v>
      </c>
      <c r="G39" s="98" t="s">
        <v>61</v>
      </c>
      <c r="H39" s="17" t="s">
        <v>73</v>
      </c>
      <c r="I39" s="17" t="s">
        <v>73</v>
      </c>
      <c r="J39" s="17" t="s">
        <v>73</v>
      </c>
      <c r="K39" s="17" t="s">
        <v>73</v>
      </c>
      <c r="N39" s="3"/>
      <c r="O39" s="3"/>
      <c r="P39" s="3"/>
      <c r="S39" s="26"/>
    </row>
    <row r="40" spans="1:19" s="1" customFormat="1" ht="30" customHeight="1" x14ac:dyDescent="0.3">
      <c r="A40" s="41"/>
      <c r="B40" s="88">
        <v>38</v>
      </c>
      <c r="C40" s="80">
        <f t="shared" si="0"/>
        <v>45975</v>
      </c>
      <c r="D40" s="98" t="s">
        <v>61</v>
      </c>
      <c r="E40" s="98" t="s">
        <v>61</v>
      </c>
      <c r="F40" s="98" t="s">
        <v>61</v>
      </c>
      <c r="G40" s="98" t="s">
        <v>61</v>
      </c>
      <c r="H40" s="17" t="s">
        <v>73</v>
      </c>
      <c r="I40" s="17" t="s">
        <v>73</v>
      </c>
      <c r="J40" s="17" t="s">
        <v>73</v>
      </c>
      <c r="K40" s="17" t="s">
        <v>73</v>
      </c>
      <c r="N40" s="3"/>
      <c r="O40" s="3"/>
      <c r="P40" s="3"/>
      <c r="S40" s="26"/>
    </row>
    <row r="41" spans="1:19" s="1" customFormat="1" ht="30" customHeight="1" x14ac:dyDescent="0.3">
      <c r="A41" s="41"/>
      <c r="B41" s="88">
        <v>39</v>
      </c>
      <c r="C41" s="80">
        <f t="shared" si="0"/>
        <v>45978</v>
      </c>
      <c r="D41" s="17" t="s">
        <v>73</v>
      </c>
      <c r="E41" s="17" t="s">
        <v>73</v>
      </c>
      <c r="F41" s="17" t="s">
        <v>73</v>
      </c>
      <c r="G41" s="17" t="s">
        <v>73</v>
      </c>
      <c r="H41" s="17" t="s">
        <v>73</v>
      </c>
      <c r="I41" s="17" t="s">
        <v>73</v>
      </c>
      <c r="J41" s="17" t="s">
        <v>73</v>
      </c>
      <c r="K41" s="17" t="s">
        <v>73</v>
      </c>
      <c r="N41" s="3"/>
      <c r="O41" s="3"/>
      <c r="P41" s="3"/>
      <c r="S41" s="26"/>
    </row>
    <row r="42" spans="1:19" s="1" customFormat="1" ht="30" customHeight="1" x14ac:dyDescent="0.3">
      <c r="A42" s="41"/>
      <c r="B42" s="88">
        <v>40</v>
      </c>
      <c r="C42" s="94">
        <f t="shared" si="0"/>
        <v>45979</v>
      </c>
      <c r="D42" s="98" t="s">
        <v>61</v>
      </c>
      <c r="E42" s="98" t="s">
        <v>61</v>
      </c>
      <c r="F42" s="98" t="s">
        <v>61</v>
      </c>
      <c r="G42" s="98" t="s">
        <v>61</v>
      </c>
      <c r="H42" s="17" t="s">
        <v>73</v>
      </c>
      <c r="I42" s="17" t="s">
        <v>73</v>
      </c>
      <c r="J42" s="17" t="s">
        <v>73</v>
      </c>
      <c r="K42" s="17" t="s">
        <v>73</v>
      </c>
      <c r="N42" s="3"/>
      <c r="O42" s="3"/>
      <c r="P42" s="3"/>
      <c r="S42" s="26"/>
    </row>
    <row r="43" spans="1:19" s="1" customFormat="1" ht="30" customHeight="1" x14ac:dyDescent="0.3">
      <c r="A43" s="41"/>
      <c r="B43" s="88">
        <v>41</v>
      </c>
      <c r="C43" s="94">
        <f t="shared" si="0"/>
        <v>45980</v>
      </c>
      <c r="D43" s="98" t="s">
        <v>61</v>
      </c>
      <c r="E43" s="98" t="s">
        <v>61</v>
      </c>
      <c r="F43" s="98" t="s">
        <v>61</v>
      </c>
      <c r="G43" s="98" t="s">
        <v>61</v>
      </c>
      <c r="H43" s="17" t="s">
        <v>73</v>
      </c>
      <c r="I43" s="17" t="s">
        <v>73</v>
      </c>
      <c r="J43" s="17" t="s">
        <v>73</v>
      </c>
      <c r="K43" s="17" t="s">
        <v>73</v>
      </c>
      <c r="N43" s="3"/>
      <c r="O43" s="3"/>
      <c r="P43" s="3"/>
      <c r="S43" s="26"/>
    </row>
    <row r="44" spans="1:19" s="1" customFormat="1" ht="30" customHeight="1" x14ac:dyDescent="0.3">
      <c r="A44" s="41"/>
      <c r="B44" s="88">
        <v>42</v>
      </c>
      <c r="C44" s="94">
        <f t="shared" si="0"/>
        <v>45981</v>
      </c>
      <c r="D44" s="98" t="s">
        <v>61</v>
      </c>
      <c r="E44" s="98" t="s">
        <v>61</v>
      </c>
      <c r="F44" s="98" t="s">
        <v>61</v>
      </c>
      <c r="G44" s="98" t="s">
        <v>61</v>
      </c>
      <c r="H44" s="17" t="s">
        <v>73</v>
      </c>
      <c r="I44" s="17" t="s">
        <v>73</v>
      </c>
      <c r="J44" s="17" t="s">
        <v>73</v>
      </c>
      <c r="K44" s="17" t="s">
        <v>73</v>
      </c>
      <c r="N44" s="3"/>
      <c r="O44" s="3"/>
      <c r="P44" s="3"/>
      <c r="S44" s="26"/>
    </row>
    <row r="45" spans="1:19" s="1" customFormat="1" ht="30" customHeight="1" x14ac:dyDescent="0.3">
      <c r="A45" s="41"/>
      <c r="B45" s="88">
        <v>43</v>
      </c>
      <c r="C45" s="94">
        <f t="shared" si="0"/>
        <v>45982</v>
      </c>
      <c r="D45" s="98" t="s">
        <v>61</v>
      </c>
      <c r="E45" s="98" t="s">
        <v>61</v>
      </c>
      <c r="F45" s="98" t="s">
        <v>61</v>
      </c>
      <c r="G45" s="98" t="s">
        <v>61</v>
      </c>
      <c r="H45" s="17" t="s">
        <v>73</v>
      </c>
      <c r="I45" s="17" t="s">
        <v>73</v>
      </c>
      <c r="J45" s="17" t="s">
        <v>73</v>
      </c>
      <c r="K45" s="17" t="s">
        <v>73</v>
      </c>
      <c r="N45" s="3"/>
      <c r="O45" s="3"/>
      <c r="P45" s="3"/>
      <c r="S45" s="26"/>
    </row>
    <row r="46" spans="1:19" s="1" customFormat="1" ht="30" customHeight="1" x14ac:dyDescent="0.3">
      <c r="A46" s="41"/>
      <c r="B46" s="88">
        <v>44</v>
      </c>
      <c r="C46" s="94">
        <f t="shared" si="0"/>
        <v>45985</v>
      </c>
      <c r="D46" s="98" t="s">
        <v>61</v>
      </c>
      <c r="E46" s="98" t="s">
        <v>61</v>
      </c>
      <c r="F46" s="98" t="s">
        <v>61</v>
      </c>
      <c r="G46" s="98" t="s">
        <v>61</v>
      </c>
      <c r="H46" s="17" t="s">
        <v>73</v>
      </c>
      <c r="I46" s="17" t="s">
        <v>73</v>
      </c>
      <c r="J46" s="17" t="s">
        <v>73</v>
      </c>
      <c r="K46" s="17" t="s">
        <v>73</v>
      </c>
      <c r="N46" s="3"/>
      <c r="O46" s="3"/>
      <c r="P46" s="3"/>
      <c r="S46" s="26"/>
    </row>
    <row r="47" spans="1:19" s="1" customFormat="1" ht="30" customHeight="1" x14ac:dyDescent="0.3">
      <c r="A47" s="41"/>
      <c r="B47" s="88">
        <v>45</v>
      </c>
      <c r="C47" s="94">
        <f t="shared" si="0"/>
        <v>45986</v>
      </c>
      <c r="D47" s="98" t="s">
        <v>61</v>
      </c>
      <c r="E47" s="98" t="s">
        <v>61</v>
      </c>
      <c r="F47" s="98" t="s">
        <v>61</v>
      </c>
      <c r="G47" s="98" t="s">
        <v>61</v>
      </c>
      <c r="H47" s="17" t="s">
        <v>73</v>
      </c>
      <c r="I47" s="17" t="s">
        <v>73</v>
      </c>
      <c r="J47" s="17" t="s">
        <v>73</v>
      </c>
      <c r="K47" s="17" t="s">
        <v>73</v>
      </c>
      <c r="N47" s="3"/>
      <c r="O47" s="3"/>
      <c r="P47" s="3"/>
      <c r="S47" s="26"/>
    </row>
    <row r="48" spans="1:19" s="1" customFormat="1" ht="30" customHeight="1" x14ac:dyDescent="0.3">
      <c r="A48" s="41"/>
      <c r="B48" s="88">
        <v>46</v>
      </c>
      <c r="C48" s="94">
        <f t="shared" si="0"/>
        <v>45987</v>
      </c>
      <c r="D48" s="98" t="s">
        <v>61</v>
      </c>
      <c r="E48" s="98" t="s">
        <v>61</v>
      </c>
      <c r="F48" s="98" t="s">
        <v>61</v>
      </c>
      <c r="G48" s="98" t="s">
        <v>61</v>
      </c>
      <c r="H48" s="17" t="s">
        <v>73</v>
      </c>
      <c r="I48" s="17" t="s">
        <v>73</v>
      </c>
      <c r="J48" s="17" t="s">
        <v>73</v>
      </c>
      <c r="K48" s="17" t="s">
        <v>73</v>
      </c>
      <c r="N48" s="3"/>
      <c r="O48" s="3"/>
      <c r="P48" s="3"/>
      <c r="S48" s="26"/>
    </row>
    <row r="49" spans="1:19" s="1" customFormat="1" ht="30" customHeight="1" x14ac:dyDescent="0.3">
      <c r="A49" s="41"/>
      <c r="B49" s="88">
        <v>47</v>
      </c>
      <c r="C49" s="94">
        <f t="shared" si="0"/>
        <v>45988</v>
      </c>
      <c r="D49" s="98" t="s">
        <v>61</v>
      </c>
      <c r="E49" s="98" t="s">
        <v>61</v>
      </c>
      <c r="F49" s="98" t="s">
        <v>61</v>
      </c>
      <c r="G49" s="98" t="s">
        <v>61</v>
      </c>
      <c r="H49" s="17" t="s">
        <v>73</v>
      </c>
      <c r="I49" s="17" t="s">
        <v>73</v>
      </c>
      <c r="J49" s="17" t="s">
        <v>73</v>
      </c>
      <c r="K49" s="17" t="s">
        <v>73</v>
      </c>
      <c r="S49" s="26"/>
    </row>
    <row r="50" spans="1:19" s="1" customFormat="1" ht="30" customHeight="1" x14ac:dyDescent="0.3">
      <c r="A50" s="41"/>
      <c r="B50" s="88">
        <v>48</v>
      </c>
      <c r="C50" s="94">
        <f t="shared" si="0"/>
        <v>45989</v>
      </c>
      <c r="D50" s="105" t="s">
        <v>67</v>
      </c>
      <c r="E50" s="105" t="s">
        <v>67</v>
      </c>
      <c r="F50" s="105" t="s">
        <v>67</v>
      </c>
      <c r="G50" s="105" t="s">
        <v>67</v>
      </c>
      <c r="H50" s="17" t="s">
        <v>73</v>
      </c>
      <c r="I50" s="17" t="s">
        <v>73</v>
      </c>
      <c r="J50" s="17" t="s">
        <v>73</v>
      </c>
      <c r="K50" s="17" t="s">
        <v>73</v>
      </c>
      <c r="S50" s="26"/>
    </row>
    <row r="51" spans="1:19" s="1" customFormat="1" ht="30" customHeight="1" x14ac:dyDescent="0.3">
      <c r="A51" s="41"/>
      <c r="B51" s="88">
        <v>49</v>
      </c>
      <c r="C51" s="94">
        <f t="shared" si="0"/>
        <v>45992</v>
      </c>
      <c r="D51" s="105" t="s">
        <v>67</v>
      </c>
      <c r="E51" s="105" t="s">
        <v>67</v>
      </c>
      <c r="F51" s="105" t="s">
        <v>67</v>
      </c>
      <c r="G51" s="105" t="s">
        <v>67</v>
      </c>
      <c r="H51" s="17" t="s">
        <v>73</v>
      </c>
      <c r="I51" s="17" t="s">
        <v>73</v>
      </c>
      <c r="J51" s="17" t="s">
        <v>73</v>
      </c>
      <c r="K51" s="17" t="s">
        <v>73</v>
      </c>
      <c r="S51" s="26"/>
    </row>
    <row r="52" spans="1:19" s="1" customFormat="1" ht="30" customHeight="1" x14ac:dyDescent="0.3">
      <c r="A52" s="41"/>
      <c r="B52" s="88">
        <v>50</v>
      </c>
      <c r="C52" s="94">
        <f t="shared" si="0"/>
        <v>45993</v>
      </c>
      <c r="D52" s="105" t="s">
        <v>67</v>
      </c>
      <c r="E52" s="105" t="s">
        <v>67</v>
      </c>
      <c r="F52" s="105" t="s">
        <v>67</v>
      </c>
      <c r="G52" s="105" t="s">
        <v>67</v>
      </c>
      <c r="H52" s="17" t="s">
        <v>73</v>
      </c>
      <c r="I52" s="17" t="s">
        <v>73</v>
      </c>
      <c r="J52" s="17" t="s">
        <v>73</v>
      </c>
      <c r="K52" s="15" t="s">
        <v>71</v>
      </c>
      <c r="S52" s="26"/>
    </row>
    <row r="53" spans="1:19" s="1" customFormat="1" ht="30" customHeight="1" x14ac:dyDescent="0.3">
      <c r="A53" s="41"/>
      <c r="B53" s="88">
        <v>51</v>
      </c>
      <c r="C53" s="94">
        <f t="shared" si="0"/>
        <v>45994</v>
      </c>
      <c r="D53" s="105" t="s">
        <v>67</v>
      </c>
      <c r="E53" s="105" t="s">
        <v>67</v>
      </c>
      <c r="F53" s="105" t="s">
        <v>67</v>
      </c>
      <c r="G53" s="105" t="s">
        <v>67</v>
      </c>
      <c r="H53" s="15" t="s">
        <v>71</v>
      </c>
      <c r="I53" s="15" t="s">
        <v>71</v>
      </c>
      <c r="J53" s="15" t="s">
        <v>71</v>
      </c>
      <c r="K53" s="15" t="s">
        <v>71</v>
      </c>
      <c r="S53" s="26"/>
    </row>
    <row r="54" spans="1:19" s="1" customFormat="1" ht="30" customHeight="1" x14ac:dyDescent="0.3">
      <c r="A54" s="41"/>
      <c r="B54" s="88">
        <v>52</v>
      </c>
      <c r="C54" s="94">
        <f t="shared" si="0"/>
        <v>45995</v>
      </c>
      <c r="D54" s="105" t="s">
        <v>67</v>
      </c>
      <c r="E54" s="105" t="s">
        <v>67</v>
      </c>
      <c r="F54" s="105" t="s">
        <v>67</v>
      </c>
      <c r="G54" s="105" t="s">
        <v>67</v>
      </c>
      <c r="H54" s="15" t="s">
        <v>71</v>
      </c>
      <c r="I54" s="15" t="s">
        <v>71</v>
      </c>
      <c r="J54" s="15" t="s">
        <v>71</v>
      </c>
      <c r="K54" s="15" t="s">
        <v>71</v>
      </c>
      <c r="S54" s="26"/>
    </row>
    <row r="55" spans="1:19" s="1" customFormat="1" ht="30" customHeight="1" x14ac:dyDescent="0.3">
      <c r="A55" s="41"/>
      <c r="B55" s="88">
        <v>53</v>
      </c>
      <c r="C55" s="94">
        <f t="shared" si="0"/>
        <v>45996</v>
      </c>
      <c r="D55" s="105" t="s">
        <v>67</v>
      </c>
      <c r="E55" s="105" t="s">
        <v>67</v>
      </c>
      <c r="F55" s="105" t="s">
        <v>67</v>
      </c>
      <c r="G55" s="105" t="s">
        <v>67</v>
      </c>
      <c r="H55" s="15" t="s">
        <v>71</v>
      </c>
      <c r="I55" s="15" t="s">
        <v>71</v>
      </c>
      <c r="J55" s="15" t="s">
        <v>71</v>
      </c>
      <c r="K55" s="15" t="s">
        <v>71</v>
      </c>
      <c r="S55" s="26"/>
    </row>
    <row r="56" spans="1:19" s="1" customFormat="1" ht="30" customHeight="1" x14ac:dyDescent="0.3">
      <c r="A56" s="41"/>
      <c r="B56" s="88">
        <v>54</v>
      </c>
      <c r="C56" s="94">
        <f t="shared" si="0"/>
        <v>45999</v>
      </c>
      <c r="D56" s="105" t="s">
        <v>67</v>
      </c>
      <c r="E56" s="105" t="s">
        <v>67</v>
      </c>
      <c r="F56" s="105" t="s">
        <v>67</v>
      </c>
      <c r="G56" s="105" t="s">
        <v>67</v>
      </c>
      <c r="H56" s="15" t="s">
        <v>71</v>
      </c>
      <c r="I56" s="15" t="s">
        <v>71</v>
      </c>
      <c r="J56" s="15" t="s">
        <v>71</v>
      </c>
      <c r="K56" s="15" t="s">
        <v>71</v>
      </c>
      <c r="S56" s="26"/>
    </row>
    <row r="57" spans="1:19" s="1" customFormat="1" ht="30" customHeight="1" x14ac:dyDescent="0.3">
      <c r="A57" s="41"/>
      <c r="B57" s="88">
        <v>55</v>
      </c>
      <c r="C57" s="94">
        <f t="shared" si="0"/>
        <v>46000</v>
      </c>
      <c r="D57" s="105" t="s">
        <v>67</v>
      </c>
      <c r="E57" s="105" t="s">
        <v>67</v>
      </c>
      <c r="F57" s="105" t="s">
        <v>67</v>
      </c>
      <c r="G57" s="105" t="s">
        <v>67</v>
      </c>
      <c r="H57" s="15" t="s">
        <v>71</v>
      </c>
      <c r="I57" s="15" t="s">
        <v>71</v>
      </c>
      <c r="J57" s="15" t="s">
        <v>71</v>
      </c>
      <c r="K57" s="15" t="s">
        <v>71</v>
      </c>
      <c r="S57" s="26"/>
    </row>
    <row r="58" spans="1:19" s="1" customFormat="1" ht="30" customHeight="1" x14ac:dyDescent="0.3">
      <c r="A58" s="41"/>
      <c r="B58" s="88">
        <v>56</v>
      </c>
      <c r="C58" s="94">
        <f t="shared" si="0"/>
        <v>46001</v>
      </c>
      <c r="D58" s="105" t="s">
        <v>67</v>
      </c>
      <c r="E58" s="105" t="s">
        <v>67</v>
      </c>
      <c r="F58" s="105" t="s">
        <v>67</v>
      </c>
      <c r="G58" s="105" t="s">
        <v>67</v>
      </c>
      <c r="H58" s="15" t="s">
        <v>71</v>
      </c>
      <c r="I58" s="15" t="s">
        <v>71</v>
      </c>
      <c r="J58" s="15" t="s">
        <v>71</v>
      </c>
      <c r="K58" s="15" t="s">
        <v>71</v>
      </c>
      <c r="S58" s="26"/>
    </row>
    <row r="59" spans="1:19" s="1" customFormat="1" ht="30" customHeight="1" x14ac:dyDescent="0.3">
      <c r="A59" s="41"/>
      <c r="B59" s="88">
        <v>57</v>
      </c>
      <c r="C59" s="94">
        <f t="shared" si="0"/>
        <v>46002</v>
      </c>
      <c r="D59" s="105" t="s">
        <v>67</v>
      </c>
      <c r="E59" s="105" t="s">
        <v>67</v>
      </c>
      <c r="F59" s="105" t="s">
        <v>67</v>
      </c>
      <c r="G59" s="105" t="s">
        <v>67</v>
      </c>
      <c r="H59" s="15" t="s">
        <v>71</v>
      </c>
      <c r="I59" s="15" t="s">
        <v>71</v>
      </c>
      <c r="J59" s="15" t="s">
        <v>71</v>
      </c>
      <c r="K59" s="15" t="s">
        <v>71</v>
      </c>
      <c r="S59" s="26"/>
    </row>
    <row r="60" spans="1:19" s="1" customFormat="1" ht="30" customHeight="1" x14ac:dyDescent="0.3">
      <c r="A60" s="41"/>
      <c r="B60" s="88">
        <v>58</v>
      </c>
      <c r="C60" s="94">
        <f t="shared" si="0"/>
        <v>46003</v>
      </c>
      <c r="D60" s="105" t="s">
        <v>67</v>
      </c>
      <c r="E60" s="105" t="s">
        <v>67</v>
      </c>
      <c r="F60" s="105" t="s">
        <v>67</v>
      </c>
      <c r="G60" s="105" t="s">
        <v>67</v>
      </c>
      <c r="H60" s="15" t="s">
        <v>71</v>
      </c>
      <c r="I60" s="15" t="s">
        <v>71</v>
      </c>
      <c r="J60" s="15" t="s">
        <v>71</v>
      </c>
      <c r="K60" s="15" t="s">
        <v>71</v>
      </c>
      <c r="S60" s="26"/>
    </row>
    <row r="61" spans="1:19" s="1" customFormat="1" ht="30" customHeight="1" x14ac:dyDescent="0.3">
      <c r="A61" s="41"/>
      <c r="B61" s="88">
        <v>59</v>
      </c>
      <c r="C61" s="94">
        <f t="shared" si="0"/>
        <v>46006</v>
      </c>
      <c r="D61" s="15" t="s">
        <v>71</v>
      </c>
      <c r="E61" s="15" t="s">
        <v>71</v>
      </c>
      <c r="F61" s="15" t="s">
        <v>71</v>
      </c>
      <c r="G61" s="15" t="s">
        <v>71</v>
      </c>
      <c r="H61" s="15" t="s">
        <v>71</v>
      </c>
      <c r="I61" s="15" t="s">
        <v>71</v>
      </c>
      <c r="J61" s="15" t="s">
        <v>71</v>
      </c>
      <c r="K61" s="15" t="s">
        <v>63</v>
      </c>
      <c r="S61" s="26"/>
    </row>
    <row r="62" spans="1:19" s="1" customFormat="1" ht="30" customHeight="1" x14ac:dyDescent="0.3">
      <c r="A62" s="41"/>
      <c r="B62" s="88">
        <v>60</v>
      </c>
      <c r="C62" s="95">
        <f t="shared" si="0"/>
        <v>46007</v>
      </c>
      <c r="D62" s="105" t="s">
        <v>67</v>
      </c>
      <c r="E62" s="105" t="s">
        <v>67</v>
      </c>
      <c r="F62" s="105" t="s">
        <v>67</v>
      </c>
      <c r="G62" s="105" t="s">
        <v>67</v>
      </c>
      <c r="H62" s="15" t="s">
        <v>63</v>
      </c>
      <c r="I62" s="15" t="s">
        <v>63</v>
      </c>
      <c r="J62" s="15" t="s">
        <v>63</v>
      </c>
      <c r="K62" s="15" t="s">
        <v>63</v>
      </c>
      <c r="S62" s="26"/>
    </row>
    <row r="63" spans="1:19" s="1" customFormat="1" ht="30" customHeight="1" x14ac:dyDescent="0.3">
      <c r="A63" s="41"/>
      <c r="B63" s="88">
        <v>61</v>
      </c>
      <c r="C63" s="95">
        <f t="shared" si="0"/>
        <v>46008</v>
      </c>
      <c r="D63" s="105" t="s">
        <v>67</v>
      </c>
      <c r="E63" s="105" t="s">
        <v>67</v>
      </c>
      <c r="F63" s="105" t="s">
        <v>67</v>
      </c>
      <c r="G63" s="105" t="s">
        <v>67</v>
      </c>
      <c r="H63" s="15" t="s">
        <v>63</v>
      </c>
      <c r="I63" s="15" t="s">
        <v>63</v>
      </c>
      <c r="J63" s="15" t="s">
        <v>63</v>
      </c>
      <c r="K63" s="15" t="s">
        <v>63</v>
      </c>
      <c r="S63" s="26"/>
    </row>
    <row r="64" spans="1:19" s="1" customFormat="1" ht="30" customHeight="1" x14ac:dyDescent="0.3">
      <c r="A64" s="41"/>
      <c r="B64" s="88">
        <v>62</v>
      </c>
      <c r="C64" s="95">
        <f t="shared" si="0"/>
        <v>46009</v>
      </c>
      <c r="D64" s="105" t="s">
        <v>67</v>
      </c>
      <c r="E64" s="105" t="s">
        <v>67</v>
      </c>
      <c r="F64" s="105" t="s">
        <v>67</v>
      </c>
      <c r="G64" s="105" t="s">
        <v>67</v>
      </c>
      <c r="H64" s="15" t="s">
        <v>63</v>
      </c>
      <c r="I64" s="15" t="s">
        <v>63</v>
      </c>
      <c r="J64" s="15" t="s">
        <v>63</v>
      </c>
      <c r="K64" s="15" t="s">
        <v>63</v>
      </c>
      <c r="S64" s="26"/>
    </row>
    <row r="65" spans="1:19" s="1" customFormat="1" ht="30" customHeight="1" x14ac:dyDescent="0.3">
      <c r="A65" s="41"/>
      <c r="B65" s="88">
        <v>63</v>
      </c>
      <c r="C65" s="95">
        <f t="shared" si="0"/>
        <v>46010</v>
      </c>
      <c r="D65" s="105" t="s">
        <v>67</v>
      </c>
      <c r="E65" s="105" t="s">
        <v>67</v>
      </c>
      <c r="F65" s="105" t="s">
        <v>67</v>
      </c>
      <c r="G65" s="24" t="s">
        <v>67</v>
      </c>
      <c r="H65" s="15" t="s">
        <v>63</v>
      </c>
      <c r="I65" s="15" t="s">
        <v>63</v>
      </c>
      <c r="J65" s="15" t="s">
        <v>63</v>
      </c>
      <c r="K65" s="15" t="s">
        <v>63</v>
      </c>
      <c r="S65" s="26"/>
    </row>
    <row r="66" spans="1:19" s="1" customFormat="1" ht="30" customHeight="1" x14ac:dyDescent="0.3">
      <c r="A66" s="41"/>
      <c r="B66" s="88">
        <v>64</v>
      </c>
      <c r="C66" s="95">
        <f t="shared" si="0"/>
        <v>46013</v>
      </c>
      <c r="D66" s="106" t="s">
        <v>63</v>
      </c>
      <c r="E66" s="106" t="s">
        <v>63</v>
      </c>
      <c r="F66" s="106" t="s">
        <v>63</v>
      </c>
      <c r="G66" s="106" t="s">
        <v>63</v>
      </c>
      <c r="H66" s="15" t="s">
        <v>63</v>
      </c>
      <c r="I66" s="15" t="s">
        <v>63</v>
      </c>
      <c r="J66" s="15" t="s">
        <v>63</v>
      </c>
      <c r="K66" s="15" t="s">
        <v>63</v>
      </c>
      <c r="S66" s="26"/>
    </row>
    <row r="67" spans="1:19" s="1" customFormat="1" ht="30" customHeight="1" x14ac:dyDescent="0.3">
      <c r="A67" s="41"/>
      <c r="B67" s="88">
        <v>65</v>
      </c>
      <c r="C67" s="95">
        <f t="shared" si="0"/>
        <v>46014</v>
      </c>
      <c r="D67" s="106" t="s">
        <v>63</v>
      </c>
      <c r="E67" s="106" t="s">
        <v>63</v>
      </c>
      <c r="F67" s="106" t="s">
        <v>63</v>
      </c>
      <c r="G67" s="15" t="s">
        <v>63</v>
      </c>
      <c r="H67" s="15" t="s">
        <v>63</v>
      </c>
      <c r="I67" s="15" t="s">
        <v>63</v>
      </c>
      <c r="J67" s="15" t="s">
        <v>63</v>
      </c>
      <c r="K67" s="15" t="s">
        <v>63</v>
      </c>
      <c r="S67" s="26"/>
    </row>
    <row r="68" spans="1:19" s="1" customFormat="1" ht="30" customHeight="1" x14ac:dyDescent="0.3">
      <c r="A68" s="41"/>
      <c r="B68" s="88">
        <v>66</v>
      </c>
      <c r="C68" s="94">
        <f t="shared" si="0"/>
        <v>46015</v>
      </c>
      <c r="D68" s="15" t="s">
        <v>63</v>
      </c>
      <c r="E68" s="15" t="s">
        <v>63</v>
      </c>
      <c r="F68" s="15" t="s">
        <v>63</v>
      </c>
      <c r="G68" s="15" t="s">
        <v>63</v>
      </c>
      <c r="H68" s="15" t="s">
        <v>63</v>
      </c>
      <c r="I68" s="15" t="s">
        <v>63</v>
      </c>
      <c r="J68" s="15" t="s">
        <v>63</v>
      </c>
      <c r="K68" s="15" t="s">
        <v>63</v>
      </c>
      <c r="S68" s="26"/>
    </row>
    <row r="69" spans="1:19" s="1" customFormat="1" ht="30" customHeight="1" x14ac:dyDescent="0.3">
      <c r="A69" s="41"/>
      <c r="B69" s="88">
        <v>67</v>
      </c>
      <c r="C69" s="94">
        <f t="shared" ref="C69:C103" si="3">WORKDAY($C$3,ROW()-3,$U$4:$U$33)</f>
        <v>46017</v>
      </c>
      <c r="D69" s="15" t="s">
        <v>63</v>
      </c>
      <c r="E69" s="15" t="s">
        <v>63</v>
      </c>
      <c r="F69" s="15" t="s">
        <v>63</v>
      </c>
      <c r="G69" s="15" t="s">
        <v>63</v>
      </c>
      <c r="H69" s="15" t="s">
        <v>63</v>
      </c>
      <c r="I69" s="15" t="s">
        <v>63</v>
      </c>
      <c r="J69" s="15" t="s">
        <v>63</v>
      </c>
      <c r="K69" s="15" t="s">
        <v>63</v>
      </c>
    </row>
    <row r="70" spans="1:19" s="1" customFormat="1" ht="30" customHeight="1" x14ac:dyDescent="0.3">
      <c r="A70" s="41"/>
      <c r="B70" s="88">
        <v>68</v>
      </c>
      <c r="C70" s="94">
        <f t="shared" si="3"/>
        <v>46020</v>
      </c>
      <c r="D70" s="15" t="s">
        <v>63</v>
      </c>
      <c r="E70" s="15" t="s">
        <v>63</v>
      </c>
      <c r="F70" s="15" t="s">
        <v>63</v>
      </c>
      <c r="G70" s="15" t="s">
        <v>63</v>
      </c>
      <c r="H70" s="15" t="s">
        <v>63</v>
      </c>
      <c r="I70" s="15" t="s">
        <v>63</v>
      </c>
      <c r="J70" s="15" t="s">
        <v>63</v>
      </c>
      <c r="K70" s="15" t="s">
        <v>63</v>
      </c>
    </row>
    <row r="71" spans="1:19" s="1" customFormat="1" ht="30" customHeight="1" x14ac:dyDescent="0.3">
      <c r="A71" s="41"/>
      <c r="B71" s="88">
        <v>69</v>
      </c>
      <c r="C71" s="94">
        <f t="shared" si="3"/>
        <v>46021</v>
      </c>
      <c r="D71" s="15" t="s">
        <v>63</v>
      </c>
      <c r="E71" s="15" t="s">
        <v>63</v>
      </c>
      <c r="F71" s="15" t="s">
        <v>63</v>
      </c>
      <c r="G71" s="28" t="s">
        <v>64</v>
      </c>
      <c r="H71" s="28" t="s">
        <v>64</v>
      </c>
      <c r="I71" s="28" t="s">
        <v>64</v>
      </c>
      <c r="J71" s="28" t="s">
        <v>64</v>
      </c>
      <c r="K71" s="28" t="s">
        <v>64</v>
      </c>
      <c r="N71" s="91"/>
    </row>
    <row r="72" spans="1:19" s="1" customFormat="1" ht="30" customHeight="1" x14ac:dyDescent="0.3">
      <c r="A72" s="41"/>
      <c r="B72" s="88">
        <v>70</v>
      </c>
      <c r="C72" s="94">
        <f t="shared" si="3"/>
        <v>46022</v>
      </c>
      <c r="D72" s="28" t="s">
        <v>64</v>
      </c>
      <c r="E72" s="28" t="s">
        <v>64</v>
      </c>
      <c r="F72" s="28" t="s">
        <v>64</v>
      </c>
      <c r="G72" s="28" t="s">
        <v>64</v>
      </c>
      <c r="H72" s="28" t="s">
        <v>64</v>
      </c>
      <c r="I72" s="28" t="s">
        <v>64</v>
      </c>
      <c r="J72" s="28" t="s">
        <v>64</v>
      </c>
      <c r="K72" s="28" t="s">
        <v>64</v>
      </c>
    </row>
    <row r="73" spans="1:19" s="1" customFormat="1" ht="30" customHeight="1" x14ac:dyDescent="0.3">
      <c r="A73" s="41"/>
      <c r="B73" s="88">
        <v>71</v>
      </c>
      <c r="C73" s="94">
        <f t="shared" si="3"/>
        <v>46024</v>
      </c>
      <c r="D73" s="28" t="s">
        <v>64</v>
      </c>
      <c r="E73" s="28" t="s">
        <v>64</v>
      </c>
      <c r="F73" s="28" t="s">
        <v>64</v>
      </c>
      <c r="G73" s="28" t="s">
        <v>64</v>
      </c>
      <c r="H73" s="28" t="s">
        <v>64</v>
      </c>
      <c r="I73" s="28" t="s">
        <v>64</v>
      </c>
      <c r="J73" s="28" t="s">
        <v>64</v>
      </c>
      <c r="K73" s="28" t="s">
        <v>64</v>
      </c>
    </row>
    <row r="74" spans="1:19" s="1" customFormat="1" ht="30" customHeight="1" x14ac:dyDescent="0.3">
      <c r="A74" s="41"/>
      <c r="B74" s="88">
        <v>72</v>
      </c>
      <c r="C74" s="94">
        <f t="shared" si="3"/>
        <v>46027</v>
      </c>
      <c r="D74" s="28" t="s">
        <v>64</v>
      </c>
      <c r="E74" s="28" t="s">
        <v>64</v>
      </c>
      <c r="F74" s="28" t="s">
        <v>64</v>
      </c>
      <c r="G74" s="28" t="s">
        <v>64</v>
      </c>
      <c r="H74" s="28" t="s">
        <v>64</v>
      </c>
      <c r="I74" s="28" t="s">
        <v>64</v>
      </c>
      <c r="J74" s="28" t="s">
        <v>64</v>
      </c>
      <c r="K74" s="28" t="s">
        <v>64</v>
      </c>
    </row>
    <row r="75" spans="1:19" s="1" customFormat="1" ht="30" customHeight="1" x14ac:dyDescent="0.3">
      <c r="A75" s="41"/>
      <c r="B75" s="88">
        <v>73</v>
      </c>
      <c r="C75" s="94">
        <f t="shared" si="3"/>
        <v>46028</v>
      </c>
      <c r="D75" s="28" t="s">
        <v>64</v>
      </c>
      <c r="E75" s="28" t="s">
        <v>64</v>
      </c>
      <c r="F75" s="28" t="s">
        <v>64</v>
      </c>
      <c r="G75" s="28" t="s">
        <v>64</v>
      </c>
      <c r="H75" s="28" t="s">
        <v>64</v>
      </c>
      <c r="I75" s="28" t="s">
        <v>64</v>
      </c>
      <c r="J75" s="28" t="s">
        <v>64</v>
      </c>
      <c r="K75" s="28" t="s">
        <v>64</v>
      </c>
    </row>
    <row r="76" spans="1:19" s="1" customFormat="1" ht="30" customHeight="1" x14ac:dyDescent="0.3">
      <c r="A76" s="41"/>
      <c r="B76" s="88">
        <v>74</v>
      </c>
      <c r="C76" s="94">
        <f t="shared" si="3"/>
        <v>46029</v>
      </c>
      <c r="D76" s="28" t="s">
        <v>64</v>
      </c>
      <c r="E76" s="28" t="s">
        <v>64</v>
      </c>
      <c r="F76" s="28" t="s">
        <v>64</v>
      </c>
      <c r="G76" s="17" t="s">
        <v>65</v>
      </c>
      <c r="H76" s="17" t="s">
        <v>65</v>
      </c>
      <c r="I76" s="17" t="s">
        <v>65</v>
      </c>
      <c r="J76" s="17" t="s">
        <v>65</v>
      </c>
      <c r="K76" s="17" t="s">
        <v>65</v>
      </c>
      <c r="N76" s="89"/>
    </row>
    <row r="77" spans="1:19" s="1" customFormat="1" ht="30" customHeight="1" x14ac:dyDescent="0.3">
      <c r="A77" s="41"/>
      <c r="B77" s="88">
        <v>75</v>
      </c>
      <c r="C77" s="94">
        <f t="shared" si="3"/>
        <v>46030</v>
      </c>
      <c r="D77" s="17" t="s">
        <v>65</v>
      </c>
      <c r="E77" s="17" t="s">
        <v>65</v>
      </c>
      <c r="F77" s="17" t="s">
        <v>65</v>
      </c>
      <c r="G77" s="17" t="s">
        <v>65</v>
      </c>
      <c r="H77" s="17" t="s">
        <v>65</v>
      </c>
      <c r="I77" s="17" t="s">
        <v>65</v>
      </c>
      <c r="J77" s="17" t="s">
        <v>65</v>
      </c>
      <c r="K77" s="17" t="s">
        <v>65</v>
      </c>
      <c r="N77" s="91"/>
    </row>
    <row r="78" spans="1:19" s="1" customFormat="1" ht="30" customHeight="1" x14ac:dyDescent="0.3">
      <c r="A78" s="41"/>
      <c r="B78" s="88">
        <v>76</v>
      </c>
      <c r="C78" s="94">
        <f t="shared" si="3"/>
        <v>46031</v>
      </c>
      <c r="D78" s="17" t="s">
        <v>65</v>
      </c>
      <c r="E78" s="17" t="s">
        <v>65</v>
      </c>
      <c r="F78" s="17" t="s">
        <v>65</v>
      </c>
      <c r="G78" s="17" t="s">
        <v>65</v>
      </c>
      <c r="H78" s="17" t="s">
        <v>65</v>
      </c>
      <c r="I78" s="17" t="s">
        <v>65</v>
      </c>
      <c r="J78" s="17" t="s">
        <v>65</v>
      </c>
      <c r="K78" s="17" t="s">
        <v>65</v>
      </c>
    </row>
    <row r="79" spans="1:19" s="1" customFormat="1" ht="30" customHeight="1" x14ac:dyDescent="0.3">
      <c r="A79" s="41"/>
      <c r="B79" s="88">
        <v>77</v>
      </c>
      <c r="C79" s="94">
        <f t="shared" si="3"/>
        <v>46034</v>
      </c>
      <c r="D79" s="17" t="s">
        <v>65</v>
      </c>
      <c r="E79" s="17" t="s">
        <v>65</v>
      </c>
      <c r="F79" s="17" t="s">
        <v>65</v>
      </c>
      <c r="G79" s="17" t="s">
        <v>65</v>
      </c>
      <c r="H79" s="17" t="s">
        <v>65</v>
      </c>
      <c r="I79" s="17" t="s">
        <v>65</v>
      </c>
      <c r="J79" s="17" t="s">
        <v>65</v>
      </c>
      <c r="K79" s="17" t="s">
        <v>65</v>
      </c>
      <c r="N79" s="3"/>
    </row>
    <row r="80" spans="1:19" s="1" customFormat="1" ht="30" customHeight="1" x14ac:dyDescent="0.3">
      <c r="A80" s="41"/>
      <c r="B80" s="88">
        <v>78</v>
      </c>
      <c r="C80" s="94">
        <f t="shared" si="3"/>
        <v>46035</v>
      </c>
      <c r="D80" s="17" t="s">
        <v>65</v>
      </c>
      <c r="E80" s="17" t="s">
        <v>65</v>
      </c>
      <c r="F80" s="17" t="s">
        <v>65</v>
      </c>
      <c r="G80" s="17" t="s">
        <v>65</v>
      </c>
      <c r="H80" s="17" t="s">
        <v>65</v>
      </c>
      <c r="I80" s="17" t="s">
        <v>65</v>
      </c>
      <c r="J80" s="17" t="s">
        <v>65</v>
      </c>
      <c r="K80" s="17" t="s">
        <v>65</v>
      </c>
      <c r="N80" s="3"/>
    </row>
    <row r="81" spans="1:14" s="1" customFormat="1" ht="30" customHeight="1" x14ac:dyDescent="0.3">
      <c r="A81" s="41"/>
      <c r="B81" s="88">
        <v>79</v>
      </c>
      <c r="C81" s="94">
        <f t="shared" si="3"/>
        <v>46036</v>
      </c>
      <c r="D81" s="17" t="s">
        <v>65</v>
      </c>
      <c r="E81" s="17" t="s">
        <v>65</v>
      </c>
      <c r="F81" s="17" t="s">
        <v>65</v>
      </c>
      <c r="G81" s="17" t="s">
        <v>65</v>
      </c>
      <c r="H81" s="17" t="s">
        <v>65</v>
      </c>
      <c r="I81" s="17" t="s">
        <v>65</v>
      </c>
      <c r="J81" s="17" t="s">
        <v>65</v>
      </c>
      <c r="K81" s="17" t="s">
        <v>65</v>
      </c>
      <c r="N81" s="3"/>
    </row>
    <row r="82" spans="1:14" s="1" customFormat="1" ht="30" customHeight="1" x14ac:dyDescent="0.3">
      <c r="A82" s="41"/>
      <c r="B82" s="88">
        <v>80</v>
      </c>
      <c r="C82" s="94">
        <f t="shared" si="3"/>
        <v>46037</v>
      </c>
      <c r="D82" s="17" t="s">
        <v>65</v>
      </c>
      <c r="E82" s="17" t="s">
        <v>65</v>
      </c>
      <c r="F82" s="17" t="s">
        <v>65</v>
      </c>
      <c r="G82" s="17" t="s">
        <v>65</v>
      </c>
      <c r="H82" s="17" t="s">
        <v>65</v>
      </c>
      <c r="I82" s="17" t="s">
        <v>65</v>
      </c>
      <c r="J82" s="17" t="s">
        <v>65</v>
      </c>
      <c r="K82" s="17" t="s">
        <v>65</v>
      </c>
      <c r="N82" s="3"/>
    </row>
    <row r="83" spans="1:14" s="1" customFormat="1" ht="30" customHeight="1" x14ac:dyDescent="0.3">
      <c r="A83" s="41"/>
      <c r="B83" s="88">
        <v>81</v>
      </c>
      <c r="C83" s="94">
        <f t="shared" si="3"/>
        <v>46038</v>
      </c>
      <c r="D83" s="17" t="s">
        <v>65</v>
      </c>
      <c r="E83" s="17" t="s">
        <v>65</v>
      </c>
      <c r="F83" s="17" t="s">
        <v>65</v>
      </c>
      <c r="G83" s="17" t="s">
        <v>65</v>
      </c>
      <c r="H83" s="17" t="s">
        <v>65</v>
      </c>
      <c r="I83" s="17" t="s">
        <v>65</v>
      </c>
      <c r="J83" s="17" t="s">
        <v>65</v>
      </c>
      <c r="K83" s="32" t="s">
        <v>68</v>
      </c>
      <c r="N83" s="3"/>
    </row>
    <row r="84" spans="1:14" s="1" customFormat="1" ht="30" customHeight="1" x14ac:dyDescent="0.3">
      <c r="A84" s="41"/>
      <c r="B84" s="88">
        <v>82</v>
      </c>
      <c r="C84" s="94">
        <f t="shared" si="3"/>
        <v>46041</v>
      </c>
      <c r="D84" s="32" t="s">
        <v>68</v>
      </c>
      <c r="E84" s="32" t="s">
        <v>68</v>
      </c>
      <c r="F84" s="32" t="s">
        <v>68</v>
      </c>
      <c r="G84" s="32" t="s">
        <v>68</v>
      </c>
      <c r="H84" s="32" t="s">
        <v>68</v>
      </c>
      <c r="I84" s="32" t="s">
        <v>68</v>
      </c>
      <c r="J84" s="32" t="s">
        <v>68</v>
      </c>
      <c r="K84" s="32" t="s">
        <v>68</v>
      </c>
      <c r="M84" s="7"/>
      <c r="N84" s="3"/>
    </row>
    <row r="85" spans="1:14" s="1" customFormat="1" ht="30" customHeight="1" x14ac:dyDescent="0.3">
      <c r="A85" s="41"/>
      <c r="B85" s="88">
        <v>83</v>
      </c>
      <c r="C85" s="94">
        <f t="shared" si="3"/>
        <v>46042</v>
      </c>
      <c r="D85" s="32" t="s">
        <v>68</v>
      </c>
      <c r="E85" s="32" t="s">
        <v>68</v>
      </c>
      <c r="F85" s="32" t="s">
        <v>68</v>
      </c>
      <c r="G85" s="32" t="s">
        <v>68</v>
      </c>
      <c r="H85" s="32" t="s">
        <v>68</v>
      </c>
      <c r="I85" s="32" t="s">
        <v>68</v>
      </c>
      <c r="J85" s="32" t="s">
        <v>68</v>
      </c>
      <c r="K85" s="32" t="s">
        <v>68</v>
      </c>
      <c r="M85" s="7"/>
      <c r="N85" s="3"/>
    </row>
    <row r="86" spans="1:14" s="1" customFormat="1" ht="30" customHeight="1" x14ac:dyDescent="0.3">
      <c r="A86" s="41"/>
      <c r="B86" s="88">
        <v>84</v>
      </c>
      <c r="C86" s="94">
        <f t="shared" si="3"/>
        <v>46043</v>
      </c>
      <c r="D86" s="32" t="s">
        <v>68</v>
      </c>
      <c r="E86" s="32" t="s">
        <v>68</v>
      </c>
      <c r="F86" s="32" t="s">
        <v>68</v>
      </c>
      <c r="G86" s="32" t="s">
        <v>68</v>
      </c>
      <c r="H86" s="32" t="s">
        <v>68</v>
      </c>
      <c r="I86" s="44" t="s">
        <v>30</v>
      </c>
      <c r="J86" s="44" t="s">
        <v>30</v>
      </c>
      <c r="K86" s="44" t="s">
        <v>30</v>
      </c>
      <c r="M86" s="7"/>
      <c r="N86" s="91"/>
    </row>
    <row r="87" spans="1:14" s="1" customFormat="1" ht="30" customHeight="1" x14ac:dyDescent="0.3">
      <c r="A87" s="41"/>
      <c r="B87" s="88">
        <v>85</v>
      </c>
      <c r="C87" s="94">
        <f t="shared" si="3"/>
        <v>46044</v>
      </c>
      <c r="D87" s="32" t="s">
        <v>68</v>
      </c>
      <c r="E87" s="32" t="s">
        <v>68</v>
      </c>
      <c r="F87" s="32" t="s">
        <v>68</v>
      </c>
      <c r="G87" s="32" t="s">
        <v>68</v>
      </c>
      <c r="H87" s="32" t="s">
        <v>68</v>
      </c>
      <c r="I87" s="32" t="s">
        <v>68</v>
      </c>
      <c r="J87" s="32" t="s">
        <v>68</v>
      </c>
      <c r="K87" s="32" t="s">
        <v>68</v>
      </c>
      <c r="M87" s="7"/>
      <c r="N87" s="3"/>
    </row>
    <row r="88" spans="1:14" s="1" customFormat="1" ht="30" customHeight="1" x14ac:dyDescent="0.3">
      <c r="A88" s="41"/>
      <c r="B88" s="88">
        <v>86</v>
      </c>
      <c r="C88" s="94">
        <f t="shared" si="3"/>
        <v>46045</v>
      </c>
      <c r="D88" s="32" t="s">
        <v>68</v>
      </c>
      <c r="E88" s="32" t="s">
        <v>68</v>
      </c>
      <c r="F88" s="32" t="s">
        <v>68</v>
      </c>
      <c r="G88" s="32" t="s">
        <v>68</v>
      </c>
      <c r="H88" s="32" t="s">
        <v>68</v>
      </c>
      <c r="I88" s="32" t="s">
        <v>68</v>
      </c>
      <c r="J88" s="32" t="s">
        <v>68</v>
      </c>
      <c r="K88" s="32" t="s">
        <v>68</v>
      </c>
      <c r="N88" s="3"/>
    </row>
    <row r="89" spans="1:14" s="1" customFormat="1" ht="30" customHeight="1" x14ac:dyDescent="0.3">
      <c r="A89" s="41"/>
      <c r="B89" s="88">
        <v>87</v>
      </c>
      <c r="C89" s="94">
        <f t="shared" si="3"/>
        <v>46048</v>
      </c>
      <c r="D89" s="32" t="s">
        <v>68</v>
      </c>
      <c r="E89" s="32" t="s">
        <v>68</v>
      </c>
      <c r="F89" s="32" t="s">
        <v>68</v>
      </c>
      <c r="G89" s="32" t="s">
        <v>68</v>
      </c>
      <c r="H89" s="32" t="s">
        <v>68</v>
      </c>
      <c r="I89" s="32" t="s">
        <v>68</v>
      </c>
      <c r="J89" s="32" t="s">
        <v>68</v>
      </c>
      <c r="K89" s="32" t="s">
        <v>68</v>
      </c>
      <c r="N89" s="3"/>
    </row>
    <row r="90" spans="1:14" s="1" customFormat="1" ht="30" customHeight="1" x14ac:dyDescent="0.3">
      <c r="A90" s="41"/>
      <c r="B90" s="88">
        <v>88</v>
      </c>
      <c r="C90" s="94">
        <f t="shared" si="3"/>
        <v>46049</v>
      </c>
      <c r="D90" s="32" t="s">
        <v>68</v>
      </c>
      <c r="E90" s="32" t="s">
        <v>68</v>
      </c>
      <c r="F90" s="32" t="s">
        <v>68</v>
      </c>
      <c r="G90" s="32" t="s">
        <v>68</v>
      </c>
      <c r="H90" s="32" t="s">
        <v>68</v>
      </c>
      <c r="I90" s="32" t="s">
        <v>68</v>
      </c>
      <c r="J90" s="32" t="s">
        <v>68</v>
      </c>
      <c r="K90" s="32" t="s">
        <v>68</v>
      </c>
      <c r="N90" s="3"/>
    </row>
    <row r="91" spans="1:14" s="1" customFormat="1" ht="30" customHeight="1" x14ac:dyDescent="0.3">
      <c r="A91" s="41"/>
      <c r="B91" s="88">
        <v>89</v>
      </c>
      <c r="C91" s="94">
        <f t="shared" si="3"/>
        <v>46050</v>
      </c>
      <c r="D91" s="32" t="s">
        <v>68</v>
      </c>
      <c r="E91" s="32" t="s">
        <v>68</v>
      </c>
      <c r="F91" s="32" t="s">
        <v>68</v>
      </c>
      <c r="G91" s="32" t="s">
        <v>68</v>
      </c>
      <c r="H91" s="32" t="s">
        <v>68</v>
      </c>
      <c r="I91" s="32" t="s">
        <v>68</v>
      </c>
      <c r="J91" s="32" t="s">
        <v>68</v>
      </c>
      <c r="K91" s="32" t="s">
        <v>68</v>
      </c>
      <c r="N91" s="3"/>
    </row>
    <row r="92" spans="1:14" s="1" customFormat="1" ht="30" customHeight="1" x14ac:dyDescent="0.3">
      <c r="A92" s="41"/>
      <c r="B92" s="88">
        <v>90</v>
      </c>
      <c r="C92" s="94">
        <f t="shared" si="3"/>
        <v>46051</v>
      </c>
      <c r="D92" s="32" t="s">
        <v>68</v>
      </c>
      <c r="E92" s="32" t="s">
        <v>68</v>
      </c>
      <c r="F92" s="32" t="s">
        <v>68</v>
      </c>
      <c r="G92" s="32" t="s">
        <v>68</v>
      </c>
      <c r="H92" s="32" t="s">
        <v>68</v>
      </c>
      <c r="I92" s="32" t="s">
        <v>68</v>
      </c>
      <c r="J92" s="32" t="s">
        <v>68</v>
      </c>
      <c r="K92" s="32" t="s">
        <v>68</v>
      </c>
      <c r="N92" s="91"/>
    </row>
    <row r="93" spans="1:14" s="1" customFormat="1" ht="30" customHeight="1" x14ac:dyDescent="0.3">
      <c r="A93" s="41"/>
      <c r="B93" s="88">
        <v>91</v>
      </c>
      <c r="C93" s="94">
        <f t="shared" si="3"/>
        <v>46052</v>
      </c>
      <c r="D93" s="32" t="s">
        <v>68</v>
      </c>
      <c r="E93" s="32" t="s">
        <v>68</v>
      </c>
      <c r="F93" s="32" t="s">
        <v>68</v>
      </c>
      <c r="G93" s="32" t="s">
        <v>68</v>
      </c>
      <c r="H93" s="32" t="s">
        <v>68</v>
      </c>
      <c r="I93" s="32" t="s">
        <v>68</v>
      </c>
      <c r="J93" s="32" t="s">
        <v>68</v>
      </c>
      <c r="K93" s="32" t="s">
        <v>68</v>
      </c>
      <c r="M93" s="7"/>
      <c r="N93" s="3"/>
    </row>
    <row r="94" spans="1:14" s="1" customFormat="1" ht="30" customHeight="1" x14ac:dyDescent="0.3">
      <c r="A94" s="41"/>
      <c r="B94" s="88">
        <v>92</v>
      </c>
      <c r="C94" s="94">
        <f t="shared" si="3"/>
        <v>46055</v>
      </c>
      <c r="D94" s="32" t="s">
        <v>68</v>
      </c>
      <c r="E94" s="32" t="s">
        <v>68</v>
      </c>
      <c r="F94" s="30" t="s">
        <v>69</v>
      </c>
      <c r="G94" s="30" t="s">
        <v>69</v>
      </c>
      <c r="H94" s="30" t="s">
        <v>69</v>
      </c>
      <c r="I94" s="30" t="s">
        <v>69</v>
      </c>
      <c r="J94" s="30" t="s">
        <v>69</v>
      </c>
      <c r="K94" s="30" t="s">
        <v>69</v>
      </c>
      <c r="M94" s="7"/>
      <c r="N94" s="3"/>
    </row>
    <row r="95" spans="1:14" s="1" customFormat="1" ht="30" customHeight="1" x14ac:dyDescent="0.3">
      <c r="A95" s="41"/>
      <c r="B95" s="88">
        <v>93</v>
      </c>
      <c r="C95" s="94">
        <f t="shared" si="3"/>
        <v>46056</v>
      </c>
      <c r="D95" s="30" t="s">
        <v>69</v>
      </c>
      <c r="E95" s="30" t="s">
        <v>69</v>
      </c>
      <c r="F95" s="30" t="s">
        <v>69</v>
      </c>
      <c r="G95" s="30" t="s">
        <v>69</v>
      </c>
      <c r="H95" s="30" t="s">
        <v>69</v>
      </c>
      <c r="I95" s="30" t="s">
        <v>69</v>
      </c>
      <c r="J95" s="30" t="s">
        <v>69</v>
      </c>
      <c r="K95" s="30" t="s">
        <v>69</v>
      </c>
      <c r="M95" s="7"/>
      <c r="N95" s="3"/>
    </row>
    <row r="96" spans="1:14" s="1" customFormat="1" ht="30" customHeight="1" x14ac:dyDescent="0.3">
      <c r="A96" s="41"/>
      <c r="B96" s="88">
        <v>94</v>
      </c>
      <c r="C96" s="94">
        <f t="shared" si="3"/>
        <v>46057</v>
      </c>
      <c r="D96" s="30" t="s">
        <v>69</v>
      </c>
      <c r="E96" s="30" t="s">
        <v>69</v>
      </c>
      <c r="F96" s="30" t="s">
        <v>69</v>
      </c>
      <c r="G96" s="30" t="s">
        <v>69</v>
      </c>
      <c r="H96" s="30" t="s">
        <v>69</v>
      </c>
      <c r="I96" s="30" t="s">
        <v>69</v>
      </c>
      <c r="J96" s="30" t="s">
        <v>69</v>
      </c>
      <c r="K96" s="30" t="s">
        <v>69</v>
      </c>
      <c r="N96" s="3"/>
    </row>
    <row r="97" spans="1:21" s="1" customFormat="1" ht="30" customHeight="1" x14ac:dyDescent="0.3">
      <c r="A97" s="41"/>
      <c r="B97" s="88">
        <v>95</v>
      </c>
      <c r="C97" s="94">
        <f t="shared" si="3"/>
        <v>46058</v>
      </c>
      <c r="D97" s="30" t="s">
        <v>69</v>
      </c>
      <c r="E97" s="30" t="s">
        <v>69</v>
      </c>
      <c r="F97" s="30" t="s">
        <v>69</v>
      </c>
      <c r="G97" s="30" t="s">
        <v>69</v>
      </c>
      <c r="H97" s="30" t="s">
        <v>69</v>
      </c>
      <c r="I97" s="30" t="s">
        <v>69</v>
      </c>
      <c r="J97" s="30" t="s">
        <v>69</v>
      </c>
      <c r="K97" s="30" t="s">
        <v>69</v>
      </c>
      <c r="M97" s="7"/>
      <c r="N97" s="3"/>
    </row>
    <row r="98" spans="1:21" s="1" customFormat="1" ht="30" customHeight="1" x14ac:dyDescent="0.3">
      <c r="A98" s="41"/>
      <c r="B98" s="88">
        <v>96</v>
      </c>
      <c r="C98" s="94">
        <f t="shared" si="3"/>
        <v>46059</v>
      </c>
      <c r="D98" s="30" t="s">
        <v>69</v>
      </c>
      <c r="E98" s="30" t="s">
        <v>69</v>
      </c>
      <c r="F98" s="30" t="s">
        <v>69</v>
      </c>
      <c r="G98" s="30" t="s">
        <v>69</v>
      </c>
      <c r="H98" s="30" t="s">
        <v>69</v>
      </c>
      <c r="I98" s="30" t="s">
        <v>69</v>
      </c>
      <c r="J98" s="30" t="s">
        <v>69</v>
      </c>
      <c r="K98" s="30" t="s">
        <v>69</v>
      </c>
      <c r="M98" s="7"/>
      <c r="N98" s="91"/>
    </row>
    <row r="99" spans="1:21" s="1" customFormat="1" ht="30" customHeight="1" x14ac:dyDescent="0.3">
      <c r="A99" s="41"/>
      <c r="B99" s="88">
        <v>97</v>
      </c>
      <c r="C99" s="94">
        <f t="shared" si="3"/>
        <v>46062</v>
      </c>
      <c r="D99" s="30" t="s">
        <v>69</v>
      </c>
      <c r="E99" s="30" t="s">
        <v>69</v>
      </c>
      <c r="F99" s="30" t="s">
        <v>69</v>
      </c>
      <c r="G99" s="30" t="s">
        <v>69</v>
      </c>
      <c r="H99" s="30" t="s">
        <v>69</v>
      </c>
      <c r="I99" s="30" t="s">
        <v>69</v>
      </c>
      <c r="J99" s="30" t="s">
        <v>69</v>
      </c>
      <c r="K99" s="30" t="s">
        <v>69</v>
      </c>
      <c r="M99" s="7"/>
    </row>
    <row r="100" spans="1:21" ht="30" customHeight="1" x14ac:dyDescent="0.3">
      <c r="B100" s="88">
        <v>98</v>
      </c>
      <c r="C100" s="94">
        <f t="shared" si="3"/>
        <v>46063</v>
      </c>
      <c r="D100" s="30" t="s">
        <v>69</v>
      </c>
      <c r="E100" s="30" t="s">
        <v>69</v>
      </c>
      <c r="F100" s="30" t="s">
        <v>69</v>
      </c>
      <c r="G100" s="30" t="s">
        <v>69</v>
      </c>
      <c r="H100" s="30" t="s">
        <v>69</v>
      </c>
      <c r="I100" s="30" t="s">
        <v>69</v>
      </c>
      <c r="J100" s="30" t="s">
        <v>69</v>
      </c>
      <c r="K100" s="30" t="s">
        <v>69</v>
      </c>
      <c r="N100"/>
      <c r="O100"/>
      <c r="P100"/>
      <c r="Q100"/>
      <c r="R100"/>
      <c r="S100"/>
      <c r="T100"/>
      <c r="U100"/>
    </row>
    <row r="101" spans="1:21" ht="30" customHeight="1" x14ac:dyDescent="0.3">
      <c r="B101" s="88">
        <v>99</v>
      </c>
      <c r="C101" s="94">
        <f t="shared" si="3"/>
        <v>46064</v>
      </c>
      <c r="D101" s="30" t="s">
        <v>69</v>
      </c>
      <c r="E101" s="30" t="s">
        <v>69</v>
      </c>
      <c r="F101" s="30" t="s">
        <v>69</v>
      </c>
      <c r="G101" s="30" t="s">
        <v>69</v>
      </c>
      <c r="H101" s="30" t="s">
        <v>69</v>
      </c>
      <c r="I101" s="30" t="s">
        <v>69</v>
      </c>
      <c r="J101" s="30" t="s">
        <v>69</v>
      </c>
      <c r="K101" s="30" t="s">
        <v>69</v>
      </c>
      <c r="N101"/>
      <c r="O101"/>
      <c r="P101"/>
      <c r="Q101"/>
      <c r="R101"/>
      <c r="S101"/>
      <c r="T101"/>
      <c r="U101"/>
    </row>
    <row r="102" spans="1:21" ht="30" customHeight="1" x14ac:dyDescent="0.3">
      <c r="B102" s="88">
        <v>100</v>
      </c>
      <c r="C102" s="94">
        <f t="shared" si="3"/>
        <v>46065</v>
      </c>
      <c r="D102" s="30" t="s">
        <v>69</v>
      </c>
      <c r="E102" s="30" t="s">
        <v>69</v>
      </c>
      <c r="F102" s="30" t="s">
        <v>69</v>
      </c>
      <c r="G102" s="30" t="s">
        <v>69</v>
      </c>
      <c r="H102" s="30" t="s">
        <v>69</v>
      </c>
      <c r="I102" s="30" t="s">
        <v>69</v>
      </c>
      <c r="J102" s="30" t="s">
        <v>69</v>
      </c>
      <c r="K102" s="30" t="s">
        <v>69</v>
      </c>
      <c r="N102"/>
      <c r="O102"/>
      <c r="P102"/>
      <c r="Q102"/>
      <c r="R102"/>
      <c r="S102"/>
      <c r="T102"/>
      <c r="U102"/>
    </row>
    <row r="103" spans="1:21" ht="30" customHeight="1" x14ac:dyDescent="0.3">
      <c r="B103" s="88">
        <v>101</v>
      </c>
      <c r="C103" s="94">
        <f t="shared" si="3"/>
        <v>46066</v>
      </c>
      <c r="D103" s="30" t="s">
        <v>69</v>
      </c>
      <c r="E103" s="30" t="s">
        <v>69</v>
      </c>
      <c r="F103" s="30" t="s">
        <v>69</v>
      </c>
      <c r="G103" s="30" t="s">
        <v>69</v>
      </c>
      <c r="H103" s="30" t="s">
        <v>69</v>
      </c>
      <c r="I103" s="44" t="s">
        <v>30</v>
      </c>
      <c r="J103" s="93"/>
      <c r="K103" s="93"/>
      <c r="N103" s="2"/>
      <c r="O103" s="2"/>
      <c r="P103" s="2"/>
      <c r="R103" s="90"/>
      <c r="S103" s="90"/>
      <c r="T103" s="90"/>
      <c r="U103" s="90"/>
    </row>
  </sheetData>
  <mergeCells count="1">
    <mergeCell ref="B1:K1"/>
  </mergeCells>
  <phoneticPr fontId="19" type="noConversion"/>
  <conditionalFormatting sqref="R5:R26">
    <cfRule type="cellIs" dxfId="1" priority="8" operator="greaterThan">
      <formula>0</formula>
    </cfRule>
    <cfRule type="cellIs" dxfId="0" priority="9" operator="lessThan">
      <formula>0</formula>
    </cfRule>
  </conditionalFormatting>
  <pageMargins left="0.35433070866141736" right="0.27559055118110237" top="0.51181102362204722" bottom="0.31496062992125984" header="0.31496062992125984" footer="0.31496062992125984"/>
  <pageSetup paperSize="9" scale="56" fitToHeight="0" orientation="portrait" r:id="rId1"/>
  <ignoredErrors>
    <ignoredError sqref="C4 C5:C40 C64:C103" unlocked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3</vt:i4>
      </vt:variant>
    </vt:vector>
  </HeadingPairs>
  <TitlesOfParts>
    <vt:vector size="5" baseType="lpstr">
      <vt:lpstr>1.시간표</vt:lpstr>
      <vt:lpstr>훈련일정표</vt:lpstr>
      <vt:lpstr>'1.시간표'!Print_Area</vt:lpstr>
      <vt:lpstr>훈련일정표!Print_Area</vt:lpstr>
      <vt:lpstr>훈련일정표!Print_Titles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김진영</dc:creator>
  <cp:lastModifiedBy>KTECH</cp:lastModifiedBy>
  <cp:lastPrinted>2024-03-22T01:48:33Z</cp:lastPrinted>
  <dcterms:created xsi:type="dcterms:W3CDTF">2018-07-24T02:46:56Z</dcterms:created>
  <dcterms:modified xsi:type="dcterms:W3CDTF">2026-01-09T05:41:55Z</dcterms:modified>
</cp:coreProperties>
</file>